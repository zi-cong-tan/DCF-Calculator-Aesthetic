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207C8025-0261-8B4F-ABCB-DE8CA2D61E85}" xr6:coauthVersionLast="47" xr6:coauthVersionMax="47" xr10:uidLastSave="{00000000-0000-0000-0000-000000000000}"/>
  <bookViews>
    <workbookView xWindow="0" yWindow="600" windowWidth="34200" windowHeight="1922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G39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I39" i="1" l="1"/>
  <c r="J39" i="1"/>
  <c r="H39" i="1"/>
  <c r="K39" i="1"/>
  <c r="L39" i="1"/>
  <c r="L40" i="1" s="1"/>
  <c r="M39" i="1"/>
  <c r="M40" i="1" s="1"/>
  <c r="E34" i="1"/>
  <c r="E35" i="1" s="1"/>
  <c r="E36" i="1"/>
  <c r="F32" i="1"/>
  <c r="F40" i="1"/>
  <c r="C62" i="1"/>
  <c r="C63" i="1"/>
  <c r="C61" i="1"/>
  <c r="K40" i="1"/>
  <c r="J40" i="1"/>
  <c r="H40" i="1"/>
  <c r="C60" i="1"/>
  <c r="G40" i="1"/>
  <c r="C64" i="1"/>
  <c r="I40" i="1"/>
  <c r="N39" i="1"/>
  <c r="N40" i="1" s="1"/>
  <c r="E39" i="1"/>
  <c r="E40" i="1" s="1"/>
  <c r="F34" i="1" l="1"/>
  <c r="F35" i="1" s="1"/>
  <c r="F36" i="1"/>
  <c r="G32" i="1"/>
  <c r="E37" i="1"/>
  <c r="E41" i="1" l="1"/>
  <c r="G36" i="1"/>
  <c r="G34" i="1"/>
  <c r="G35" i="1" s="1"/>
  <c r="G37" i="1" s="1"/>
  <c r="G41" i="1" s="1"/>
  <c r="H32" i="1"/>
  <c r="F37" i="1"/>
  <c r="F41" i="1" s="1"/>
  <c r="I32" i="1" l="1"/>
  <c r="H36" i="1"/>
  <c r="H34" i="1"/>
  <c r="H35" i="1" s="1"/>
  <c r="H37" i="1" s="1"/>
  <c r="H41" i="1" s="1"/>
  <c r="I36" i="1" l="1"/>
  <c r="I34" i="1"/>
  <c r="I35" i="1" s="1"/>
  <c r="I37" i="1" s="1"/>
  <c r="I41" i="1" s="1"/>
  <c r="J32" i="1"/>
  <c r="K32" i="1" l="1"/>
  <c r="J34" i="1"/>
  <c r="J35" i="1" s="1"/>
  <c r="J36" i="1"/>
  <c r="J37" i="1" l="1"/>
  <c r="J41" i="1" s="1"/>
  <c r="K34" i="1"/>
  <c r="K35" i="1" s="1"/>
  <c r="L32" i="1"/>
  <c r="K36" i="1"/>
  <c r="L36" i="1" l="1"/>
  <c r="M32" i="1"/>
  <c r="L34" i="1"/>
  <c r="L35" i="1" s="1"/>
  <c r="L37" i="1" s="1"/>
  <c r="L41" i="1" s="1"/>
  <c r="K37" i="1"/>
  <c r="K41" i="1" s="1"/>
  <c r="N32" i="1" l="1"/>
  <c r="M36" i="1"/>
  <c r="M34" i="1"/>
  <c r="M35" i="1" s="1"/>
  <c r="M37" i="1" s="1"/>
  <c r="M41" i="1" s="1"/>
  <c r="N34" i="1" l="1"/>
  <c r="N35" i="1" s="1"/>
  <c r="N36" i="1"/>
  <c r="O32" i="1"/>
  <c r="O34" i="1" l="1"/>
  <c r="O35" i="1" s="1"/>
  <c r="F60" i="1"/>
  <c r="F62" i="1"/>
  <c r="H60" i="1"/>
  <c r="F61" i="1"/>
  <c r="D60" i="1"/>
  <c r="G61" i="1"/>
  <c r="G63" i="1"/>
  <c r="H61" i="1"/>
  <c r="H62" i="1"/>
  <c r="D61" i="1"/>
  <c r="G60" i="1"/>
  <c r="H63" i="1"/>
  <c r="E63" i="1"/>
  <c r="F64" i="1"/>
  <c r="D62" i="1"/>
  <c r="H64" i="1"/>
  <c r="E64" i="1"/>
  <c r="D64" i="1"/>
  <c r="D63" i="1"/>
  <c r="E60" i="1"/>
  <c r="G64" i="1"/>
  <c r="E61" i="1"/>
  <c r="F63" i="1"/>
  <c r="G62" i="1"/>
  <c r="E62" i="1"/>
  <c r="N37" i="1"/>
  <c r="N41" i="1" s="1"/>
  <c r="D44" i="1" s="1"/>
  <c r="O36" i="1" l="1"/>
  <c r="O37" i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<sst xmlns="http://schemas.openxmlformats.org/spreadsheetml/2006/main" count="95" uniqueCount="95">
  <si>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Amazon.com, Inc. (AMZN)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</si>
  <si>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</si>
  <si>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</si>
  <si>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</si>
  <si>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</si>
  <si>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</si>
  <si>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AMZN, close 14 Oct 2026</t>
  </si>
  <si>
    <t>Shares outstanding (millions)</t>
  </si>
  <si>
    <t>Shares outstanding at 22 Jul 2026, cover of the Q2 2026 Form 10-Q (10,786,313,572)</t>
  </si>
  <si>
    <t>FY2025 revenue</t>
  </si>
  <si>
    <t>FY2025 total net sales $716,924m (Form 10-K, via SEC EDGAR)</t>
  </si>
  <si>
    <t>Net cash / (net debt)</t>
  </si>
  <si>
    <t>30 Jun 2026, Q2 2026 Form 10-Q: cash 78,213 + marketable securities 44,775 − long-term debt 132,224 (incl. current part). Leases left out. Stakes in other companies (such as Anthropic) are also left out, so this is conservative</t>
  </si>
  <si>
    <t>Total debt</t>
  </si>
  <si>
    <t>Long-term debt incl. current portion, Q2 2026 Form 10-Q. Used only to weight debt in the cost of capital</t>
  </si>
  <si>
    <t>Risk-free rate (US 10-yr)</t>
  </si>
  <si>
    <t>^TNX 5.19%, close 14 Oct 2026 (Yahoo Finance)</t>
  </si>
  <si>
    <t>Beta</t>
  </si>
  <si>
    <t>Judgment. 5-year monthly regression against the S&amp;P 500 gives 1.50, pushed up by the 2022 fall. 1.3 is typical for large internet companies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</si>
  <si>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</si>
  <si>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</si>
  <si>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</si>
  <si>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</si>
  <si>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</si>
  <si>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</si>
  <si>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</si>
  <si>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0.5% (AA credit)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</si>
  <si>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</si>
  <si>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</si>
  <si>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</si>
  <si>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</si>
  <si>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</si>
  <si>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</si>
  <si>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</si>
  <si>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FY2025 effective rate 19.6% ($19,087m ÷ $97,311m)</t>
  </si>
  <si>
    <t>Sales-to-capital ratio</t>
  </si>
  <si>
    <t>Judgment. Each $1.20 of extra sales needs $1 of new capital. Amazon is spending about $200bn a year on data centres for AI, so growth is capital-heavy</t>
  </si>
  <si>
    <t>Terminal growth</t>
  </si>
  <si>
    <t>Judgment: below the long-run US nominal growth rate</t>
  </si>
  <si>
    <t>Terminal ROIC</t>
  </si>
  <si>
    <t>Judgment: above the cost of capital, as AWS and advertising earn high returns</t>
  </si>
  <si>
    <t>Terminal operating margin</t>
  </si>
  <si>
    <t>Judgment. FY2025 11.2%, 1H26 13.4%. AWS (about 35% margin) and advertising grow faster than retail, so the mix keeps lifting the margin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</si>
  <si>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</si>
  <si>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</si>
  <si>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</si>
  <si>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</si>
  <si>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</si>
  <si>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</si>
  <si>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</si>
  <si>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</si>
  <si>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</si>
  <si>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</si>
  <si>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</si>
  <si>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</si>
  <si>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</si>
  <si>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</si>
  <si>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</si>
  <si>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</si>
  <si>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+15.6% and 2027E +14.5% = analyst averages on Yahoo Finance (56 to 58 analysts). Then 12% fading to 5%</t>
  </si>
  <si>
    <t>Revenue</t>
  </si>
  <si>
    <t>Operating margin</t>
  </si>
  <si>
    <t>FY2025 actual 11.2% ($79,975m operating income, Form 10-K). 1H26 13.4%. I assume 17% by 2030</t>
  </si>
  <si>
    <t>EBIT</t>
  </si>
  <si>
    <t>NOPAT</t>
  </si>
  <si>
    <t>Less: reinvestment (Δrevenue ÷ sales-to-capital)</t>
  </si>
  <si>
    <t>No reinvestment credit in a down year (MAX 0).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</si>
  <si>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</si>
  <si>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</si>
  <si>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</si>
  <si>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</si>
  <si>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</si>
  <si>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</si>
  <si>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</si>
  <si>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</si>
  <si>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</si>
  <si>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</si>
  <si>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</si>
  <si>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</si>
  <si>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</si>
  <si>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</si>
  <si>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</si>
  <si>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</si>
  <si>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</si>
  <si>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EPS, last four quarters: FY2025 $7.17 + 1H26 $8.53 − 1H25 $3.27 = $12.43. Inflated by gains on stakes in other companies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</si>
  <si>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</si>
  <si>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</si>
  <si>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</si>
  <si>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</si>
  <si>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</si>
  <si>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$139.85 a share against a price of $254.08 (-45%). WACC 10.7%; terminal value is 68% of enterprise value.</t>
  </si>
  <si>
    <t>Amazon is two businesses: low-margin shopping and high-margin cloud (AWS) and ads. The value turns on how far the profitable parts lift the overall margin, and on how much the AI data-centre spending earns back.</t>
  </si>
  <si>
    <t>The price needs a long-run margin around 29%, against 11% in 2025 and my 17%. Raise the sales-to-capital ratio to see how much the heavy spending costs.</t>
  </si>
  <si>
    <t>Net debt of $9bn after $123bn of cash and securities.</t>
  </si>
  <si>
    <t>Sources: Amazon FY2025 Form 10-K and 2026 10-Q filings via SEC EDGAR; analyst estimates and price from Yahoo Finance, 14 Oct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</si>
</sst>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  <numFmt numFmtId="171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0" fillId="0" borderId="0" xfId="0" applyNumberFormat="1"/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  <xf numFmtId="171" fontId="2" fillId="0" borderId="0" xfId="0" applyNumberFormat="1" applyFont="1"/>
    <xf numFmtId="171" fontId="1" fillId="2" borderId="0" xfId="0" applyNumberFormat="1" applyFont="1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19">
        <v>254.08</v>
      </c>
      <c r="P7" t="s">
        <v>6</v>
      </c>
    </row>
    <row r="8" spans="2:16" x14ac:dyDescent="0.2">
      <c r="B8" t="s">
        <v>7</v>
      </c>
      <c r="C8" s="3">
        <v>10786.3</v>
      </c>
      <c r="P8" t="s">
        <v>8</v>
      </c>
    </row>
    <row r="9" spans="2:16" x14ac:dyDescent="0.2">
      <c r="B9" t="s">
        <v>9</v>
      </c>
      <c r="C9" s="4">
        <f>716924</f>
        <v>716924</v>
      </c>
      <c r="P9" t="s">
        <v>10</v>
      </c>
    </row>
    <row r="10" spans="2:16" x14ac:dyDescent="0.2">
      <c r="B10" t="s">
        <v>11</v>
      </c>
      <c r="C10" s="4">
        <f>78213+44775-(3330+128894)</f>
        <v>-9236</v>
      </c>
      <c r="P10" t="s">
        <v>12</v>
      </c>
    </row>
    <row r="11" spans="2:16" x14ac:dyDescent="0.2">
      <c r="B11" t="s">
        <v>13</v>
      </c>
      <c r="C11" s="4">
        <v>132224</v>
      </c>
      <c r="P11" t="s">
        <v>14</v>
      </c>
    </row>
    <row r="12" spans="2:16" x14ac:dyDescent="0.2">
      <c r="B12" t="s">
        <v>15</v>
      </c>
      <c r="C12" s="5">
        <v>5.1900000000000002E-2</v>
      </c>
      <c r="P12" t="s">
        <v>16</v>
      </c>
    </row>
    <row r="13" spans="2:16" x14ac:dyDescent="0.2">
      <c r="B13" t="s">
        <v>17</v>
      </c>
      <c r="C13" s="6">
        <v>1.3</v>
      </c>
      <c r="P13" t="s">
        <v>18</v>
      </c>
    </row>
    <row r="14" spans="2:16" x14ac:dyDescent="0.2">
      <c r="B14" t="s">
        <v>19</v>
      </c>
      <c r="C14" s="7">
        <v>4.4999999999999998E-2</v>
      </c>
      <c r="P14" t="s">
        <v>20</v>
      </c>
    </row>
    <row r="15" spans="2:16" x14ac:dyDescent="0.2">
      <c r="B15" t="s">
        <v>21</v>
      </c>
      <c r="C15" s="5">
        <v>0</v>
      </c>
      <c r="P15" t="s">
        <v>22</v>
      </c>
    </row>
    <row r="16" spans="2:16" x14ac:dyDescent="0.2">
      <c r="B16" t="s">
        <v>23</v>
      </c>
      <c r="C16" s="8">
        <f>C12+C13*C14+C15</f>
        <v>0.1104</v>
      </c>
      <c r="P16" t="s">
        <v>24</v>
      </c>
    </row>
    <row r="17" spans="2:16" x14ac:dyDescent="0.2">
      <c r="B17" t="s">
        <v>25</v>
      </c>
      <c r="C17" s="5">
        <v>5.7000000000000002E-2</v>
      </c>
      <c r="P17" t="s">
        <v>26</v>
      </c>
    </row>
    <row r="18" spans="2:16" x14ac:dyDescent="0.2">
      <c r="B18" t="s">
        <v>27</v>
      </c>
      <c r="C18" s="5">
        <v>0.21</v>
      </c>
      <c r="P18" t="s">
        <v>28</v>
      </c>
    </row>
    <row r="19" spans="2:16" x14ac:dyDescent="0.2">
      <c r="B19" t="s">
        <v>29</v>
      </c>
      <c r="C19" s="9">
        <f>C11/(C11+C7*C8)</f>
        <v>4.6026062736998857E-2</v>
      </c>
      <c r="P19" t="s">
        <v>30</v>
      </c>
    </row>
    <row r="20" spans="2:16" x14ac:dyDescent="0.2">
      <c r="B20" t="s">
        <v>31</v>
      </c>
      <c r="C20" s="10">
        <f>C16*(1-C19)+C17*(1-C18)*C19</f>
        <v>0.10739127627888238</v>
      </c>
      <c r="P20" t="s">
        <v>32</v>
      </c>
    </row>
    <row r="21" spans="2:16" x14ac:dyDescent="0.2">
      <c r="B21" t="s">
        <v>33</v>
      </c>
      <c r="C21" s="5">
        <v>0.18</v>
      </c>
      <c r="P21" t="s">
        <v>34</v>
      </c>
    </row>
    <row r="22" spans="2:16" x14ac:dyDescent="0.2">
      <c r="B22" t="s">
        <v>35</v>
      </c>
      <c r="C22" s="6">
        <v>1.2</v>
      </c>
      <c r="P22" t="s">
        <v>36</v>
      </c>
    </row>
    <row r="23" spans="2:16" x14ac:dyDescent="0.2">
      <c r="B23" t="s">
        <v>37</v>
      </c>
      <c r="C23" s="5">
        <v>2.5000000000000001E-2</v>
      </c>
      <c r="P23" t="s">
        <v>38</v>
      </c>
    </row>
    <row r="24" spans="2:16" x14ac:dyDescent="0.2">
      <c r="B24" t="s">
        <v>39</v>
      </c>
      <c r="C24" s="5">
        <v>0.15</v>
      </c>
      <c r="P24" t="s">
        <v>40</v>
      </c>
    </row>
    <row r="25" spans="2:16" x14ac:dyDescent="0.2">
      <c r="B25" t="s">
        <v>41</v>
      </c>
      <c r="C25" s="7">
        <v>0.17</v>
      </c>
      <c r="P25" t="s">
        <v>42</v>
      </c>
    </row>
    <row r="26" spans="2:16" x14ac:dyDescent="0.2">
      <c r="B26" t="s">
        <v>43</v>
      </c>
      <c r="C26" s="5">
        <v>0.18</v>
      </c>
      <c r="P26" t="s">
        <v>44</v>
      </c>
    </row>
    <row r="29" spans="2:16" x14ac:dyDescent="0.2">
      <c r="B29" s="1" t="s">
        <v>45</v>
      </c>
    </row>
    <row r="30" spans="2:16" x14ac:dyDescent="0.2">
      <c r="D30" s="11" t="s">
        <v>46</v>
      </c>
      <c r="E30" s="11" t="s">
        <v>47</v>
      </c>
      <c r="F30" s="11" t="s">
        <v>48</v>
      </c>
      <c r="G30" s="11" t="s">
        <v>49</v>
      </c>
      <c r="H30" s="11" t="s">
        <v>50</v>
      </c>
      <c r="I30" s="11" t="s">
        <v>51</v>
      </c>
      <c r="J30" s="11" t="s">
        <v>52</v>
      </c>
      <c r="K30" s="11" t="s">
        <v>53</v>
      </c>
      <c r="L30" s="11" t="s">
        <v>54</v>
      </c>
      <c r="M30" s="11" t="s">
        <v>55</v>
      </c>
      <c r="N30" s="11" t="s">
        <v>56</v>
      </c>
      <c r="O30" s="11" t="s">
        <v>57</v>
      </c>
    </row>
    <row r="31" spans="2:16" x14ac:dyDescent="0.2">
      <c r="B31" t="s">
        <v>58</v>
      </c>
      <c r="E31" s="7">
        <v>0.156</v>
      </c>
      <c r="F31" s="7">
        <v>0.14499999999999999</v>
      </c>
      <c r="G31" s="7">
        <v>0.12</v>
      </c>
      <c r="H31" s="7">
        <v>0.11</v>
      </c>
      <c r="I31" s="7">
        <v>0.1</v>
      </c>
      <c r="J31" s="7">
        <v>0.09</v>
      </c>
      <c r="K31" s="7">
        <v>0.08</v>
      </c>
      <c r="L31" s="7">
        <v>7.0000000000000007E-2</v>
      </c>
      <c r="M31" s="7">
        <v>0.06</v>
      </c>
      <c r="N31" s="7">
        <v>0.05</v>
      </c>
      <c r="O31" s="9">
        <f>C23</f>
        <v>2.5000000000000001E-2</v>
      </c>
      <c r="P31" t="s">
        <v>59</v>
      </c>
    </row>
    <row r="32" spans="2:16" x14ac:dyDescent="0.2">
      <c r="B32" s="1" t="s">
        <v>60</v>
      </c>
      <c r="D32" s="12">
        <f>C9</f>
        <v>716924</v>
      </c>
      <c r="E32" s="12">
        <f t="shared" ref="E32:O32" si="0">D32*(1+E31)</f>
        <v>828764.14399999997</v>
      </c>
      <c r="F32" s="12">
        <f t="shared" si="0"/>
        <v>948934.94487999997</v>
      </c>
      <c r="G32" s="12">
        <f t="shared" si="0"/>
        <v>1062807.1382656</v>
      </c>
      <c r="H32" s="12">
        <f t="shared" si="0"/>
        <v>1179715.9234748161</v>
      </c>
      <c r="I32" s="12">
        <f t="shared" si="0"/>
        <v>1297687.5158222979</v>
      </c>
      <c r="J32" s="12">
        <f t="shared" si="0"/>
        <v>1414479.3922463048</v>
      </c>
      <c r="K32" s="12">
        <f t="shared" si="0"/>
        <v>1527637.7436260092</v>
      </c>
      <c r="L32" s="12">
        <f t="shared" si="0"/>
        <v>1634572.3856798299</v>
      </c>
      <c r="M32" s="12">
        <f t="shared" si="0"/>
        <v>1732646.7288206196</v>
      </c>
      <c r="N32" s="12">
        <f t="shared" si="0"/>
        <v>1819279.0652616506</v>
      </c>
      <c r="O32" s="12">
        <f t="shared" si="0"/>
        <v>1864761.0418931916</v>
      </c>
    </row>
    <row r="33" spans="2:16" x14ac:dyDescent="0.2">
      <c r="B33" t="s">
        <v>61</v>
      </c>
      <c r="D33" s="9">
        <f>79975/716924</f>
        <v>0.11155296795755199</v>
      </c>
      <c r="E33" s="7">
        <v>0.13500000000000001</v>
      </c>
      <c r="F33" s="7">
        <v>0.14499999999999999</v>
      </c>
      <c r="G33" s="7">
        <v>0.155</v>
      </c>
      <c r="H33" s="7">
        <v>0.16</v>
      </c>
      <c r="I33" s="7">
        <v>0.17</v>
      </c>
      <c r="J33" s="7">
        <v>0.17</v>
      </c>
      <c r="K33" s="7">
        <v>0.17</v>
      </c>
      <c r="L33" s="7">
        <v>0.17</v>
      </c>
      <c r="M33" s="7">
        <v>0.17</v>
      </c>
      <c r="N33" s="7">
        <v>0.17</v>
      </c>
      <c r="O33" s="9">
        <f>C25</f>
        <v>0.17</v>
      </c>
      <c r="P33" t="s">
        <v>62</v>
      </c>
    </row>
    <row r="34" spans="2:16" x14ac:dyDescent="0.2">
      <c r="B34" t="s">
        <v>63</v>
      </c>
      <c r="E34" s="12">
        <f t="shared" ref="E34:O34" si="1">E32*E33</f>
        <v>111883.15944</v>
      </c>
      <c r="F34" s="12">
        <f t="shared" si="1"/>
        <v>137595.56700759998</v>
      </c>
      <c r="G34" s="12">
        <f t="shared" si="1"/>
        <v>164735.10643116798</v>
      </c>
      <c r="H34" s="12">
        <f t="shared" si="1"/>
        <v>188754.54775597059</v>
      </c>
      <c r="I34" s="12">
        <f t="shared" si="1"/>
        <v>220606.87768979065</v>
      </c>
      <c r="J34" s="12">
        <f t="shared" si="1"/>
        <v>240461.49668187182</v>
      </c>
      <c r="K34" s="12">
        <f t="shared" si="1"/>
        <v>259698.41641642159</v>
      </c>
      <c r="L34" s="12">
        <f t="shared" si="1"/>
        <v>277877.30556557112</v>
      </c>
      <c r="M34" s="12">
        <f t="shared" si="1"/>
        <v>294549.94389950536</v>
      </c>
      <c r="N34" s="12">
        <f t="shared" si="1"/>
        <v>309277.44109448063</v>
      </c>
      <c r="O34" s="12">
        <f t="shared" si="1"/>
        <v>317009.37712184258</v>
      </c>
    </row>
    <row r="35" spans="2:16" x14ac:dyDescent="0.2">
      <c r="B35" t="s">
        <v>64</v>
      </c>
      <c r="E35" s="12">
        <f t="shared" ref="E35:N35" si="2">E34*(1-$C$21)</f>
        <v>91744.190740800012</v>
      </c>
      <c r="F35" s="12">
        <f t="shared" si="2"/>
        <v>112828.36494623199</v>
      </c>
      <c r="G35" s="12">
        <f t="shared" si="2"/>
        <v>135082.78727355774</v>
      </c>
      <c r="H35" s="12">
        <f t="shared" si="2"/>
        <v>154778.72915989588</v>
      </c>
      <c r="I35" s="12">
        <f t="shared" si="2"/>
        <v>180897.63970562836</v>
      </c>
      <c r="J35" s="12">
        <f t="shared" si="2"/>
        <v>197178.42727913492</v>
      </c>
      <c r="K35" s="12">
        <f t="shared" si="2"/>
        <v>212952.70146146571</v>
      </c>
      <c r="L35" s="12">
        <f t="shared" si="2"/>
        <v>227859.39056376833</v>
      </c>
      <c r="M35" s="12">
        <f t="shared" si="2"/>
        <v>241530.95399759442</v>
      </c>
      <c r="N35" s="12">
        <f t="shared" si="2"/>
        <v>253607.50169747413</v>
      </c>
      <c r="O35" s="12">
        <f>O34*(1-C26)</f>
        <v>259947.68923991095</v>
      </c>
    </row>
    <row r="36" spans="2:16" x14ac:dyDescent="0.2">
      <c r="B36" t="s">
        <v>65</v>
      </c>
      <c r="E36" s="12">
        <f t="shared" ref="E36:N36" si="3">-MAX(0,E32-D32)/$C$22</f>
        <v>-93200.119999999981</v>
      </c>
      <c r="F36" s="12">
        <f t="shared" si="3"/>
        <v>-100142.33406666666</v>
      </c>
      <c r="G36" s="12">
        <f t="shared" si="3"/>
        <v>-94893.494487999997</v>
      </c>
      <c r="H36" s="12">
        <f t="shared" si="3"/>
        <v>-97423.987674346819</v>
      </c>
      <c r="I36" s="12">
        <f t="shared" si="3"/>
        <v>-98309.660289568128</v>
      </c>
      <c r="J36" s="12">
        <f t="shared" si="3"/>
        <v>-97326.563686672409</v>
      </c>
      <c r="K36" s="12">
        <f t="shared" si="3"/>
        <v>-94298.626149753691</v>
      </c>
      <c r="L36" s="12">
        <f t="shared" si="3"/>
        <v>-89112.20171151722</v>
      </c>
      <c r="M36" s="12">
        <f t="shared" si="3"/>
        <v>-81728.619283991487</v>
      </c>
      <c r="N36" s="12">
        <f t="shared" si="3"/>
        <v>-72193.613700859132</v>
      </c>
      <c r="O36" s="12">
        <f>-O35*C23/C24</f>
        <v>-43324.614873318496</v>
      </c>
      <c r="P36" t="s">
        <v>66</v>
      </c>
    </row>
    <row r="37" spans="2:16" x14ac:dyDescent="0.2">
      <c r="B37" s="1" t="s">
        <v>67</v>
      </c>
      <c r="E37" s="13">
        <f t="shared" ref="E37:O37" si="4">E35+E36</f>
        <v>-1455.9292591999692</v>
      </c>
      <c r="F37" s="13">
        <f t="shared" si="4"/>
        <v>12686.030879565325</v>
      </c>
      <c r="G37" s="13">
        <f t="shared" si="4"/>
        <v>40189.292785557744</v>
      </c>
      <c r="H37" s="13">
        <f t="shared" si="4"/>
        <v>57354.741485549064</v>
      </c>
      <c r="I37" s="13">
        <f t="shared" si="4"/>
        <v>82587.979416060232</v>
      </c>
      <c r="J37" s="13">
        <f t="shared" si="4"/>
        <v>99851.863592462512</v>
      </c>
      <c r="K37" s="13">
        <f t="shared" si="4"/>
        <v>118654.07531171202</v>
      </c>
      <c r="L37" s="13">
        <f t="shared" si="4"/>
        <v>138747.1888522511</v>
      </c>
      <c r="M37" s="13">
        <f t="shared" si="4"/>
        <v>159802.33471360293</v>
      </c>
      <c r="N37" s="13">
        <f t="shared" si="4"/>
        <v>181413.887996615</v>
      </c>
      <c r="O37" s="13">
        <f t="shared" si="4"/>
        <v>216623.07436659245</v>
      </c>
    </row>
    <row r="38" spans="2:16" x14ac:dyDescent="0.2">
      <c r="B38" t="s">
        <v>68</v>
      </c>
      <c r="E38" s="9">
        <f>(DATE(2026,12,31)-$C$6)/365</f>
        <v>0.21369863013698631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</row>
    <row r="39" spans="2:16" x14ac:dyDescent="0.2">
      <c r="B39" t="s">
        <v>69</v>
      </c>
      <c r="E39" s="14">
        <f>E38/2</f>
        <v>0.10684931506849316</v>
      </c>
      <c r="F39" s="14">
        <f>$E$38+1-0.5</f>
        <v>0.71369863013698631</v>
      </c>
      <c r="G39" s="14">
        <f>$E$38+2-0.5</f>
        <v>1.7136986301369861</v>
      </c>
      <c r="H39" s="14">
        <f>$E$38+3-0.5</f>
        <v>2.7136986301369861</v>
      </c>
      <c r="I39" s="14">
        <f>$E$38+4-0.5</f>
        <v>3.7136986301369861</v>
      </c>
      <c r="J39" s="14">
        <f>$E$38+5-0.5</f>
        <v>4.7136986301369861</v>
      </c>
      <c r="K39" s="14">
        <f>$E$38+6-0.5</f>
        <v>5.7136986301369861</v>
      </c>
      <c r="L39" s="14">
        <f>$E$38+7-0.5</f>
        <v>6.7136986301369861</v>
      </c>
      <c r="M39" s="14">
        <f>$E$38+8-0.5</f>
        <v>7.713698630136987</v>
      </c>
      <c r="N39" s="14">
        <f>$E$38+9-0.5</f>
        <v>8.713698630136987</v>
      </c>
    </row>
    <row r="40" spans="2:16" x14ac:dyDescent="0.2">
      <c r="B40" t="s">
        <v>70</v>
      </c>
      <c r="E40" s="15">
        <f t="shared" ref="E40:N40" si="5">1/(1+$C$20)^E39</f>
        <v>0.9891597998815379</v>
      </c>
      <c r="F40" s="15">
        <f t="shared" si="5"/>
        <v>0.92978463937241551</v>
      </c>
      <c r="G40" s="15">
        <f t="shared" si="5"/>
        <v>0.83961708863801909</v>
      </c>
      <c r="H40" s="15">
        <f t="shared" si="5"/>
        <v>0.75819369957414418</v>
      </c>
      <c r="I40" s="15">
        <f t="shared" si="5"/>
        <v>0.68466649125309043</v>
      </c>
      <c r="J40" s="15">
        <f t="shared" si="5"/>
        <v>0.61826971723467494</v>
      </c>
      <c r="K40" s="15">
        <f t="shared" si="5"/>
        <v>0.55831189072774634</v>
      </c>
      <c r="L40" s="15">
        <f t="shared" si="5"/>
        <v>0.50416858312611679</v>
      </c>
      <c r="M40" s="15">
        <f t="shared" si="5"/>
        <v>0.45527592091952535</v>
      </c>
      <c r="N40" s="15">
        <f t="shared" si="5"/>
        <v>0.41112471325344802</v>
      </c>
    </row>
    <row r="41" spans="2:16" x14ac:dyDescent="0.2">
      <c r="B41" s="1" t="s">
        <v>71</v>
      </c>
      <c r="E41" s="13">
        <f t="shared" ref="E41:N41" si="6">E37*E38*E40</f>
        <v>-307.7573758476974</v>
      </c>
      <c r="F41" s="13">
        <f t="shared" si="6"/>
        <v>11795.276646423974</v>
      </c>
      <c r="G41" s="13">
        <f t="shared" si="6"/>
        <v>33743.617003030937</v>
      </c>
      <c r="H41" s="13">
        <f t="shared" si="6"/>
        <v>43486.003635047091</v>
      </c>
      <c r="I41" s="13">
        <f t="shared" si="6"/>
        <v>56545.222086476417</v>
      </c>
      <c r="J41" s="13">
        <f t="shared" si="6"/>
        <v>61735.383468667133</v>
      </c>
      <c r="K41" s="13">
        <f t="shared" si="6"/>
        <v>66245.981129834341</v>
      </c>
      <c r="L41" s="13">
        <f t="shared" si="6"/>
        <v>69951.973616371179</v>
      </c>
      <c r="M41" s="13">
        <f t="shared" si="6"/>
        <v>72754.155101825803</v>
      </c>
      <c r="N41" s="13">
        <f t="shared" si="6"/>
        <v>74583.732682801477</v>
      </c>
    </row>
    <row r="43" spans="2:16" x14ac:dyDescent="0.2">
      <c r="B43" s="1" t="s">
        <v>72</v>
      </c>
    </row>
    <row r="44" spans="2:16" x14ac:dyDescent="0.2">
      <c r="B44" t="s">
        <v>73</v>
      </c>
      <c r="D44" s="12">
        <f>SUM(E41:N41)</f>
        <v>490533.58799463062</v>
      </c>
    </row>
    <row r="45" spans="2:16" x14ac:dyDescent="0.2">
      <c r="B45" t="s">
        <v>74</v>
      </c>
      <c r="D45" s="12">
        <f>O37/(C20-C23)</f>
        <v>2629199.1597915674</v>
      </c>
    </row>
    <row r="46" spans="2:16" x14ac:dyDescent="0.2">
      <c r="B46" t="s">
        <v>75</v>
      </c>
      <c r="D46" s="12">
        <f>D45/(1+C20)^(E38+9)</f>
        <v>1027179.9164710104</v>
      </c>
    </row>
    <row r="47" spans="2:16" x14ac:dyDescent="0.2">
      <c r="B47" s="1" t="s">
        <v>76</v>
      </c>
      <c r="D47" s="13">
        <f>D44+D46</f>
        <v>1517713.504465641</v>
      </c>
    </row>
    <row r="48" spans="2:16" x14ac:dyDescent="0.2">
      <c r="B48" t="s">
        <v>77</v>
      </c>
      <c r="D48" s="9">
        <f>D46/D47</f>
        <v>0.67679434455099063</v>
      </c>
    </row>
    <row r="49" spans="2:16" x14ac:dyDescent="0.2">
      <c r="B49" t="s">
        <v>78</v>
      </c>
      <c r="D49" s="12">
        <f>C10</f>
        <v>-9236</v>
      </c>
    </row>
    <row r="50" spans="2:16" x14ac:dyDescent="0.2">
      <c r="B50" s="1" t="s">
        <v>79</v>
      </c>
      <c r="D50" s="13">
        <f>D47+D49</f>
        <v>1508477.504465641</v>
      </c>
    </row>
    <row r="51" spans="2:16" x14ac:dyDescent="0.2">
      <c r="B51" s="1" t="s">
        <v>80</v>
      </c>
      <c r="D51" s="20">
        <f>D50/C8</f>
        <v>139.85124690261173</v>
      </c>
    </row>
    <row r="52" spans="2:16" x14ac:dyDescent="0.2">
      <c r="B52" t="s">
        <v>81</v>
      </c>
      <c r="D52" s="21">
        <f>C7</f>
        <v>254.08</v>
      </c>
    </row>
    <row r="53" spans="2:16" x14ac:dyDescent="0.2">
      <c r="B53" s="1" t="s">
        <v>82</v>
      </c>
      <c r="D53" s="16">
        <f>D51/D52-1</f>
        <v>-0.44957790104450679</v>
      </c>
    </row>
    <row r="54" spans="2:16" x14ac:dyDescent="0.2">
      <c r="B54" t="s">
        <v>83</v>
      </c>
      <c r="D54" s="17">
        <f>C7/12.43</f>
        <v>20.440868865647627</v>
      </c>
      <c r="P54" t="s">
        <v>84</v>
      </c>
    </row>
    <row r="55" spans="2:16" x14ac:dyDescent="0.2">
      <c r="B55" t="s">
        <v>85</v>
      </c>
      <c r="D55" s="17">
        <f>D51/12.43</f>
        <v>11.25110594550376</v>
      </c>
    </row>
    <row r="58" spans="2:16" x14ac:dyDescent="0.2">
      <c r="B58" s="1" t="s">
        <v>86</v>
      </c>
    </row>
    <row r="59" spans="2:16" x14ac:dyDescent="0.2">
      <c r="B59" t="s">
        <v>87</v>
      </c>
      <c r="D59" s="18">
        <v>0.12</v>
      </c>
      <c r="E59" s="18">
        <v>0.14499999999999999</v>
      </c>
      <c r="F59" s="18">
        <v>0.17</v>
      </c>
      <c r="G59" s="18">
        <v>0.19500000000000001</v>
      </c>
      <c r="H59" s="18">
        <v>0.22</v>
      </c>
    </row>
    <row r="60" spans="2:16" x14ac:dyDescent="0.2">
      <c r="C60" s="18">
        <f>$C$20+(-0.03)</f>
        <v>7.7391276278882384E-2</v>
      </c>
      <c r="D60" s="21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166.0291984248114</v>
      </c>
      <c r="E60" s="21">
        <f t="shared" si="7"/>
        <v>205.59474983178328</v>
      </c>
      <c r="F60" s="21">
        <f t="shared" si="7"/>
        <v>245.16030123875527</v>
      </c>
      <c r="G60" s="21">
        <f t="shared" si="7"/>
        <v>284.72585264572717</v>
      </c>
      <c r="H60" s="21">
        <f t="shared" si="7"/>
        <v>324.29140405269908</v>
      </c>
      <c r="P60" t="s">
        <v>88</v>
      </c>
    </row>
    <row r="61" spans="2:16" x14ac:dyDescent="0.2">
      <c r="C61" s="18">
        <f>$C$20+(-0.015)</f>
        <v>9.2391276278882384E-2</v>
      </c>
      <c r="D61" s="21">
        <f t="shared" si="7"/>
        <v>120.86953881405444</v>
      </c>
      <c r="E61" s="21">
        <f t="shared" si="7"/>
        <v>150.56750708895694</v>
      </c>
      <c r="F61" s="21">
        <f t="shared" si="7"/>
        <v>180.26547536385948</v>
      </c>
      <c r="G61" s="21">
        <f t="shared" si="7"/>
        <v>209.96344363876199</v>
      </c>
      <c r="H61" s="21">
        <f t="shared" si="7"/>
        <v>239.66141191366449</v>
      </c>
    </row>
    <row r="62" spans="2:16" x14ac:dyDescent="0.2">
      <c r="C62" s="18">
        <f>$C$20+(0)</f>
        <v>0.10739127627888238</v>
      </c>
      <c r="D62" s="21">
        <f t="shared" si="7"/>
        <v>92.925025415495242</v>
      </c>
      <c r="E62" s="21">
        <f t="shared" si="7"/>
        <v>116.38813615905347</v>
      </c>
      <c r="F62" s="21">
        <f t="shared" si="7"/>
        <v>139.85124690261173</v>
      </c>
      <c r="G62" s="21">
        <f t="shared" si="7"/>
        <v>163.31435764617001</v>
      </c>
      <c r="H62" s="21">
        <f t="shared" si="7"/>
        <v>186.77746838972826</v>
      </c>
    </row>
    <row r="63" spans="2:16" x14ac:dyDescent="0.2">
      <c r="C63" s="18">
        <f>$C$20+(0.015)</f>
        <v>0.12239127627888238</v>
      </c>
      <c r="D63" s="21">
        <f t="shared" si="7"/>
        <v>74.153058164783857</v>
      </c>
      <c r="E63" s="21">
        <f t="shared" si="7"/>
        <v>93.333240532027887</v>
      </c>
      <c r="F63" s="21">
        <f t="shared" si="7"/>
        <v>112.51342289927196</v>
      </c>
      <c r="G63" s="21">
        <f t="shared" si="7"/>
        <v>131.69360526651599</v>
      </c>
      <c r="H63" s="21">
        <f t="shared" si="7"/>
        <v>150.87378763376003</v>
      </c>
    </row>
    <row r="64" spans="2:16" x14ac:dyDescent="0.2">
      <c r="C64" s="18">
        <f>$C$20+(0.03)</f>
        <v>0.13739127627888237</v>
      </c>
      <c r="D64" s="21">
        <f t="shared" si="7"/>
        <v>60.81598386229556</v>
      </c>
      <c r="E64" s="21">
        <f t="shared" si="7"/>
        <v>76.881902263508564</v>
      </c>
      <c r="F64" s="21">
        <f t="shared" si="7"/>
        <v>92.947820664721604</v>
      </c>
      <c r="G64" s="21">
        <f t="shared" si="7"/>
        <v>109.01373906593463</v>
      </c>
      <c r="H64" s="21">
        <f t="shared" si="7"/>
        <v>125.07965746714763</v>
      </c>
    </row>
    <row r="66" spans="2:2" x14ac:dyDescent="0.2">
      <c r="B66" s="1" t="s">
        <v>89</v>
      </c>
    </row>
    <row r="67" spans="2:2" x14ac:dyDescent="0.2">
      <c r="B67" t="s">
        <v>90</v>
      </c>
    </row>
    <row r="68" spans="2:2" x14ac:dyDescent="0.2">
      <c r="B68" t="s">
        <v>91</v>
      </c>
    </row>
    <row r="69" spans="2:2" x14ac:dyDescent="0.2">
      <c r="B69" t="s">
        <v>92</v>
      </c>
    </row>
    <row r="70" spans="2:2" x14ac:dyDescent="0.2">
      <c r="B70" t="s">
        <v>93</v>
      </c>
    </row>
    <row r="71" spans="2:2" x14ac:dyDescent="0.2">
      <c r="B7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2026-10-15T01:11:11Z</dcterms:modified>
</cp:coreProperties>
</file>