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xr:revisionPtr revIDLastSave="0" documentId="13_ncr:1_{12BAE78A-6C1D-654F-949E-C3FC56729EAC}" xr6:coauthVersionLast="47" xr6:coauthVersionMax="47" xr10:uidLastSave="{00000000-0000-0000-0000-000000000000}"/>
  <bookViews>
    <workbookView xWindow="0" yWindow="600" windowWidth="34200" windowHeight="19200" xr2:uid="{00000000-000D-0000-FFFF-FFFF00000000}"/>
  </bookViews>
  <sheets>
    <sheet name="DC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2" i="1"/>
  <c r="G39" i="1"/>
  <c r="E38" i="1"/>
  <c r="F39" i="1" s="1"/>
  <c r="O33" i="1"/>
  <c r="D33" i="1"/>
  <c r="O31" i="1"/>
  <c r="C19" i="1"/>
  <c r="C16" i="1"/>
  <c r="C20" i="1" s="1"/>
  <c r="C10" i="1"/>
  <c r="D49" i="1" s="1"/>
  <c r="C9" i="1"/>
  <c r="D32" i="1" s="1"/>
  <c r="E32" i="1" s="1"/>
  <c r="I39" i="1" l="1"/>
  <c r="J39" i="1"/>
  <c r="H39" i="1"/>
  <c r="K39" i="1"/>
  <c r="L39" i="1"/>
  <c r="L40" i="1" s="1"/>
  <c r="M39" i="1"/>
  <c r="M40" i="1" s="1"/>
  <c r="E34" i="1"/>
  <c r="E35" i="1" s="1"/>
  <c r="E36" i="1"/>
  <c r="F32" i="1"/>
  <c r="F40" i="1"/>
  <c r="C62" i="1"/>
  <c r="C63" i="1"/>
  <c r="C61" i="1"/>
  <c r="K40" i="1"/>
  <c r="J40" i="1"/>
  <c r="H40" i="1"/>
  <c r="C60" i="1"/>
  <c r="G40" i="1"/>
  <c r="C64" i="1"/>
  <c r="I40" i="1"/>
  <c r="N39" i="1"/>
  <c r="N40" i="1" s="1"/>
  <c r="E39" i="1"/>
  <c r="E40" i="1" s="1"/>
  <c r="F34" i="1" l="1"/>
  <c r="F35" i="1" s="1"/>
  <c r="F36" i="1"/>
  <c r="G32" i="1"/>
  <c r="E37" i="1"/>
  <c r="E41" i="1" l="1"/>
  <c r="G36" i="1"/>
  <c r="G34" i="1"/>
  <c r="G35" i="1" s="1"/>
  <c r="G37" i="1" s="1"/>
  <c r="G41" i="1" s="1"/>
  <c r="H32" i="1"/>
  <c r="F37" i="1"/>
  <c r="F41" i="1" s="1"/>
  <c r="I32" i="1" l="1"/>
  <c r="H36" i="1"/>
  <c r="H34" i="1"/>
  <c r="H35" i="1" s="1"/>
  <c r="H37" i="1" s="1"/>
  <c r="H41" i="1" s="1"/>
  <c r="I36" i="1" l="1"/>
  <c r="I34" i="1"/>
  <c r="I35" i="1" s="1"/>
  <c r="I37" i="1" s="1"/>
  <c r="I41" i="1" s="1"/>
  <c r="J32" i="1"/>
  <c r="K32" i="1" l="1"/>
  <c r="J34" i="1"/>
  <c r="J35" i="1" s="1"/>
  <c r="J36" i="1"/>
  <c r="J37" i="1" l="1"/>
  <c r="J41" i="1" s="1"/>
  <c r="K34" i="1"/>
  <c r="K35" i="1" s="1"/>
  <c r="L32" i="1"/>
  <c r="K36" i="1"/>
  <c r="L36" i="1" l="1"/>
  <c r="M32" i="1"/>
  <c r="L34" i="1"/>
  <c r="L35" i="1" s="1"/>
  <c r="L37" i="1" s="1"/>
  <c r="L41" i="1" s="1"/>
  <c r="K37" i="1"/>
  <c r="K41" i="1" s="1"/>
  <c r="N32" i="1" l="1"/>
  <c r="M36" i="1"/>
  <c r="M34" i="1"/>
  <c r="M35" i="1" s="1"/>
  <c r="M37" i="1" s="1"/>
  <c r="M41" i="1" s="1"/>
  <c r="N34" i="1" l="1"/>
  <c r="N35" i="1" s="1"/>
  <c r="N36" i="1"/>
  <c r="O32" i="1"/>
  <c r="O34" i="1" l="1"/>
  <c r="O35" i="1" s="1"/>
  <c r="F60" i="1"/>
  <c r="F62" i="1"/>
  <c r="H60" i="1"/>
  <c r="F61" i="1"/>
  <c r="D60" i="1"/>
  <c r="G61" i="1"/>
  <c r="G63" i="1"/>
  <c r="H61" i="1"/>
  <c r="H62" i="1"/>
  <c r="D61" i="1"/>
  <c r="G60" i="1"/>
  <c r="H63" i="1"/>
  <c r="E63" i="1"/>
  <c r="F64" i="1"/>
  <c r="D62" i="1"/>
  <c r="H64" i="1"/>
  <c r="E64" i="1"/>
  <c r="D64" i="1"/>
  <c r="D63" i="1"/>
  <c r="E60" i="1"/>
  <c r="G64" i="1"/>
  <c r="E61" i="1"/>
  <c r="F63" i="1"/>
  <c r="G62" i="1"/>
  <c r="E62" i="1"/>
  <c r="N37" i="1"/>
  <c r="N41" i="1" s="1"/>
  <c r="D44" i="1" s="1"/>
  <c r="O36" i="1" l="1"/>
  <c r="O37" i="1"/>
  <c r="D45" i="1" s="1"/>
  <c r="D46" i="1" s="1"/>
  <c r="D47" i="1" l="1"/>
  <c r="D50" i="1" s="1"/>
  <c r="D51" i="1" s="1"/>
  <c r="D55" i="1" l="1"/>
  <c r="D53" i="1"/>
  <c r="D48" i="1"/>
</calcChain>
</file>

<file path=xl/sharedStrings.xml><?xml version="1.0" encoding="utf-8"?>
<sst xmlns="http://schemas.openxmlformats.org/spreadsheetml/2006/main" count="95" uniqueCount="95">
  <si>
    <t>Amazon.com, Inc. (AMZN) · Independent 10-year DCF</t>
  </si>
  <si>
    <t>USD millions unless stated · valuation date 14 Oct 2026 · blue = input, black = formula, yellow = key judgment</t>
  </si>
  <si>
    <t>INPUTS</t>
  </si>
  <si>
    <t>Valuation date</t>
  </si>
  <si>
    <t>Today</t>
  </si>
  <si>
    <t>Share price ($)</t>
  </si>
  <si>
    <t>Yahoo Finance AMZN, close 14 Oct 2026</t>
  </si>
  <si>
    <t>Shares outstanding (millions)</t>
  </si>
  <si>
    <t>Shares outstanding at 22 Jul 2026, cover of the Q2 2026 Form 10-Q (10,786,313,572)</t>
  </si>
  <si>
    <t>FY2025 revenue</t>
  </si>
  <si>
    <t>FY2025 total net sales $716,924m (Form 10-K, via SEC EDGAR)</t>
  </si>
  <si>
    <t>Net cash / (net debt)</t>
  </si>
  <si>
    <t>30 Jun 2026, Q2 2026 Form 10-Q: cash 78,213 + marketable securities 44,775 − long-term debt 132,224 (incl. current part). Leases left out. Stakes in other companies (such as Anthropic) are also left out, so this is conservative</t>
  </si>
  <si>
    <t>Total debt</t>
  </si>
  <si>
    <t>Long-term debt incl. current portion, Q2 2026 Form 10-Q. Used only to weight debt in the cost of capital</t>
  </si>
  <si>
    <t>Risk-free rate (US 10-yr)</t>
  </si>
  <si>
    <t>^TNX 5.19%, close 14 Oct 2026 (Yahoo Finance)</t>
  </si>
  <si>
    <t>Beta</t>
  </si>
  <si>
    <t>Equity risk premium</t>
  </si>
  <si>
    <t>Judgment: mid-range, same as the other models</t>
  </si>
  <si>
    <t>Country risk premium</t>
  </si>
  <si>
    <t>None: US company</t>
  </si>
  <si>
    <t>Cost of equity</t>
  </si>
  <si>
    <t>Risk-free rate + beta × equity risk premium + country premium</t>
  </si>
  <si>
    <t>Cost of debt (before tax)</t>
  </si>
  <si>
    <t>Judgment: risk-free rate plus 0.5% (AA credit)</t>
  </si>
  <si>
    <t>Tax saving on interest</t>
  </si>
  <si>
    <t>US federal corporate tax rate</t>
  </si>
  <si>
    <t>Debt share of capital</t>
  </si>
  <si>
    <t>Total debt ÷ (total debt + market value of the shares)</t>
  </si>
  <si>
    <t>WACC</t>
  </si>
  <si>
    <t>Weighted average cost of capital: the discount rate</t>
  </si>
  <si>
    <t>Tax rate (forecast)</t>
  </si>
  <si>
    <t>Judgment. FY2025 effective rate 19.6% ($19,087m ÷ $97,311m)</t>
  </si>
  <si>
    <t>Sales-to-capital ratio</t>
  </si>
  <si>
    <t>Judgment. Each $1.20 of extra sales needs $1 of new capital. Amazon is spending about $200bn a year on data centres for AI, so growth is capital-heavy</t>
  </si>
  <si>
    <t>Terminal growth</t>
  </si>
  <si>
    <t>Judgment: below the long-run US nominal growth rate</t>
  </si>
  <si>
    <t>Terminal ROIC</t>
  </si>
  <si>
    <t>Judgment: above the cost of capital, as AWS and advertising earn high returns</t>
  </si>
  <si>
    <t>Terminal operating margin</t>
  </si>
  <si>
    <t>Judgment. FY2025 11.2%, 1H26 13.4%. AWS (about 35% margin) and advertising grow faster than retail, so the mix keeps lifting the margin</t>
  </si>
  <si>
    <t>Terminal tax rate</t>
  </si>
  <si>
    <t>Long-run rate</t>
  </si>
  <si>
    <t>PROJECTION</t>
  </si>
  <si>
    <t>2025A</t>
  </si>
  <si>
    <t>2026E</t>
  </si>
  <si>
    <t>2027E</t>
  </si>
  <si>
    <t>2028E</t>
  </si>
  <si>
    <t>2029E</t>
  </si>
  <si>
    <t>2030E</t>
  </si>
  <si>
    <t>2031E</t>
  </si>
  <si>
    <t>2032E</t>
  </si>
  <si>
    <t>2033E</t>
  </si>
  <si>
    <t>2034E</t>
  </si>
  <si>
    <t>2035E</t>
  </si>
  <si>
    <t>Terminal</t>
  </si>
  <si>
    <t>Revenue growth</t>
  </si>
  <si>
    <t>2026E +15.6% and 2027E +14.5% = analyst averages on Yahoo Finance (56 to 58 analysts). Then 12% fading to 5%</t>
  </si>
  <si>
    <t>Revenue</t>
  </si>
  <si>
    <t>Operating margin</t>
  </si>
  <si>
    <t>FY2025 actual 11.2% ($79,975m operating income, Form 10-K). 1H26 13.4%. I assume 17% by 2030</t>
  </si>
  <si>
    <t>EBIT</t>
  </si>
  <si>
    <t>NOPAT</t>
  </si>
  <si>
    <t>Less: reinvestment (Δrevenue ÷ sales-to-capital)</t>
  </si>
  <si>
    <t>No reinvestment credit in a down year (MAX 0). Terminal: NOPAT × growth ÷ ROIC</t>
  </si>
  <si>
    <t>Free cash flow to firm</t>
  </si>
  <si>
    <t>Share of year counted</t>
  </si>
  <si>
    <t>Years to cash flow (mid-year)</t>
  </si>
  <si>
    <t>Discount factor</t>
  </si>
  <si>
    <t>Present value</t>
  </si>
  <si>
    <t>VALUATION</t>
  </si>
  <si>
    <t>PV of 2026–2035 cash flows</t>
  </si>
  <si>
    <t>Terminal value (end of 2035)</t>
  </si>
  <si>
    <t>PV of terminal value</t>
  </si>
  <si>
    <t>Enterprise value</t>
  </si>
  <si>
    <t xml:space="preserve">  Terminal value share of EV</t>
  </si>
  <si>
    <t>Plus: net cash / (less: net debt)</t>
  </si>
  <si>
    <t>Equity value</t>
  </si>
  <si>
    <t>Value per share ($)</t>
  </si>
  <si>
    <t>Current price ($)</t>
  </si>
  <si>
    <t>Upside / (downside)</t>
  </si>
  <si>
    <t>Current P/E (last 4 quarters)</t>
  </si>
  <si>
    <t>Diluted EPS, last four quarters: FY2025 $7.17 + 1H26 $8.53 − 1H25 $3.27 = $12.43. Inflated by gains on stakes in other companies</t>
  </si>
  <si>
    <t>P/E at DCF value</t>
  </si>
  <si>
    <t>SENSITIVITY: value per share ($)</t>
  </si>
  <si>
    <t>WACC ↓ / terminal operating margin →</t>
  </si>
  <si>
    <t>Terminal margin set to the column value, and each margin from 2030 on moved by the same amount; centre = base case</t>
  </si>
  <si>
    <t>Notes</t>
  </si>
  <si>
    <t>Base case: $139.85 a share against a price of $254.08 (-45%). WACC 10.7%; terminal value is 68% of enterprise value.</t>
  </si>
  <si>
    <t>Amazon is two businesses: low-margin shopping and high-margin cloud (AWS) and ads. The value turns on how far the profitable parts lift the overall margin, and on how much the AI data-centre spending earns back.</t>
  </si>
  <si>
    <t>The price needs a long-run margin around 29%, against 11% in 2025 and my 17%. Raise the sales-to-capital ratio to see how much the heavy spending costs.</t>
  </si>
  <si>
    <t>Net debt of $9bn after $123bn of cash and securities.</t>
  </si>
  <si>
    <t>Sources: Amazon FY2025 Form 10-K and 2026 10-Q filings via SEC EDGAR; analyst estimates and price from Yahoo Finance, 14 Oct 2026.</t>
  </si>
  <si>
    <t>Judgment. 5-year monthly regression against the S&amp;P 500 gives 1.50, pushed up by the 2022 fall. Blended toward 1: 0.67 × 1.50 + 0.33 = 1.34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</si>
</sst>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#,##0.0"/>
    <numFmt numFmtId="166" formatCode="#,##0;\(#,##0\);&quot;-&quot;"/>
    <numFmt numFmtId="167" formatCode="0.0%;\(0.0%\);&quot;-&quot;"/>
    <numFmt numFmtId="168" formatCode="0.000"/>
    <numFmt numFmtId="169" formatCode="0.0&quot;x&quot;"/>
    <numFmt numFmtId="170" formatCode="&quot;$&quot;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FF"/>
      <name val="Calibri"/>
      <family val="2"/>
    </font>
    <font>
      <b/>
      <sz val="11"/>
      <color rgb="FF0000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2" fontId="2" fillId="2" borderId="0" xfId="0" applyNumberFormat="1" applyFont="1" applyFill="1"/>
    <xf numFmtId="167" fontId="2" fillId="2" borderId="0" xfId="0" applyNumberFormat="1" applyFont="1" applyFill="1"/>
    <xf numFmtId="167" fontId="3" fillId="0" borderId="0" xfId="0" applyNumberFormat="1" applyFont="1"/>
    <xf numFmtId="167" fontId="0" fillId="0" borderId="0" xfId="0" applyNumberFormat="1"/>
    <xf numFmtId="167" fontId="1" fillId="0" borderId="0" xfId="0" applyNumberFormat="1" applyFont="1"/>
    <xf numFmtId="0" fontId="1" fillId="3" borderId="0" xfId="0" applyFont="1" applyFill="1" applyAlignment="1">
      <alignment horizontal="right"/>
    </xf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168" fontId="0" fillId="0" borderId="0" xfId="0" applyNumberFormat="1"/>
    <xf numFmtId="167" fontId="1" fillId="2" borderId="0" xfId="0" applyNumberFormat="1" applyFont="1" applyFill="1"/>
    <xf numFmtId="169" fontId="0" fillId="0" borderId="0" xfId="0" applyNumberFormat="1"/>
    <xf numFmtId="167" fontId="0" fillId="3" borderId="0" xfId="0" applyNumberFormat="1" applyFill="1"/>
    <xf numFmtId="170" fontId="2" fillId="0" borderId="0" xfId="0" applyNumberFormat="1" applyFont="1"/>
    <xf numFmtId="170" fontId="1" fillId="2" borderId="0" xfId="0" applyNumberFormat="1" applyFont="1" applyFill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71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4" customWidth="1"/>
    <col min="3" max="3" width="13" customWidth="1"/>
    <col min="4" max="15" width="11" customWidth="1"/>
    <col min="16" max="16" width="120" customWidth="1"/>
  </cols>
  <sheetData>
    <row r="2" spans="2:16" x14ac:dyDescent="0.2">
      <c r="B2" s="1" t="s">
        <v>0</v>
      </c>
    </row>
    <row r="3" spans="2:16" x14ac:dyDescent="0.2">
      <c r="B3" t="s">
        <v>1</v>
      </c>
    </row>
    <row r="5" spans="2:16" x14ac:dyDescent="0.2">
      <c r="B5" s="1" t="s">
        <v>2</v>
      </c>
    </row>
    <row r="6" spans="2:16" x14ac:dyDescent="0.2">
      <c r="B6" t="s">
        <v>3</v>
      </c>
      <c r="C6" s="2">
        <v>46309</v>
      </c>
      <c r="P6" t="s">
        <v>4</v>
      </c>
    </row>
    <row r="7" spans="2:16" x14ac:dyDescent="0.2">
      <c r="B7" t="s">
        <v>5</v>
      </c>
      <c r="C7" s="19">
        <v>254.08</v>
      </c>
      <c r="P7" t="s">
        <v>6</v>
      </c>
    </row>
    <row r="8" spans="2:16" x14ac:dyDescent="0.2">
      <c r="B8" t="s">
        <v>7</v>
      </c>
      <c r="C8" s="3">
        <v>10786.3</v>
      </c>
      <c r="P8" t="s">
        <v>8</v>
      </c>
    </row>
    <row r="9" spans="2:16" x14ac:dyDescent="0.2">
      <c r="B9" t="s">
        <v>9</v>
      </c>
      <c r="C9" s="4">
        <f>716924</f>
        <v>716924</v>
      </c>
      <c r="P9" t="s">
        <v>10</v>
      </c>
    </row>
    <row r="10" spans="2:16" x14ac:dyDescent="0.2">
      <c r="B10" t="s">
        <v>11</v>
      </c>
      <c r="C10" s="4">
        <f>78213+44775-(3330+128894)</f>
        <v>-9236</v>
      </c>
      <c r="P10" t="s">
        <v>12</v>
      </c>
    </row>
    <row r="11" spans="2:16" x14ac:dyDescent="0.2">
      <c r="B11" t="s">
        <v>13</v>
      </c>
      <c r="C11" s="4">
        <v>132224</v>
      </c>
      <c r="P11" t="s">
        <v>14</v>
      </c>
    </row>
    <row r="12" spans="2:16" x14ac:dyDescent="0.2">
      <c r="B12" t="s">
        <v>15</v>
      </c>
      <c r="C12" s="5">
        <v>5.1900000000000002E-2</v>
      </c>
      <c r="P12" t="s">
        <v>16</v>
      </c>
    </row>
    <row r="13" spans="2:16" x14ac:dyDescent="0.2">
      <c r="B13" t="s">
        <v>17</v>
      </c>
      <c r="C13" s="6">
        <v>1.34</v>
      </c>
      <c r="P13" t="s">
        <v>94</v>
      </c>
    </row>
    <row r="14" spans="2:16" x14ac:dyDescent="0.2">
      <c r="B14" t="s">
        <v>18</v>
      </c>
      <c r="C14" s="7">
        <v>4.4999999999999998E-2</v>
      </c>
      <c r="P14" t="s">
        <v>19</v>
      </c>
    </row>
    <row r="15" spans="2:16" x14ac:dyDescent="0.2">
      <c r="B15" t="s">
        <v>20</v>
      </c>
      <c r="C15" s="5">
        <v>0</v>
      </c>
      <c r="P15" t="s">
        <v>21</v>
      </c>
    </row>
    <row r="16" spans="2:16" x14ac:dyDescent="0.2">
      <c r="B16" t="s">
        <v>22</v>
      </c>
      <c r="C16" s="8">
        <f>C12+C13*C14+C15</f>
        <v>0.11219999999999999</v>
      </c>
      <c r="P16" t="s">
        <v>23</v>
      </c>
    </row>
    <row r="17" spans="2:16" x14ac:dyDescent="0.2">
      <c r="B17" t="s">
        <v>24</v>
      </c>
      <c r="C17" s="5">
        <v>5.7000000000000002E-2</v>
      </c>
      <c r="P17" t="s">
        <v>25</v>
      </c>
    </row>
    <row r="18" spans="2:16" x14ac:dyDescent="0.2">
      <c r="B18" t="s">
        <v>26</v>
      </c>
      <c r="C18" s="5">
        <v>0.21</v>
      </c>
      <c r="P18" t="s">
        <v>27</v>
      </c>
    </row>
    <row r="19" spans="2:16" x14ac:dyDescent="0.2">
      <c r="B19" t="s">
        <v>28</v>
      </c>
      <c r="C19" s="9">
        <f>C11/(C11+C7*C8)</f>
        <v>4.6026062736998857E-2</v>
      </c>
      <c r="P19" t="s">
        <v>29</v>
      </c>
    </row>
    <row r="20" spans="2:16" x14ac:dyDescent="0.2">
      <c r="B20" t="s">
        <v>30</v>
      </c>
      <c r="C20" s="10">
        <f>C16*(1-C19)+C17*(1-C18)*C19</f>
        <v>0.10910842936595579</v>
      </c>
      <c r="P20" t="s">
        <v>31</v>
      </c>
    </row>
    <row r="21" spans="2:16" x14ac:dyDescent="0.2">
      <c r="B21" t="s">
        <v>32</v>
      </c>
      <c r="C21" s="5">
        <v>0.18</v>
      </c>
      <c r="P21" t="s">
        <v>33</v>
      </c>
    </row>
    <row r="22" spans="2:16" x14ac:dyDescent="0.2">
      <c r="B22" t="s">
        <v>34</v>
      </c>
      <c r="C22" s="6">
        <v>1.2</v>
      </c>
      <c r="P22" t="s">
        <v>35</v>
      </c>
    </row>
    <row r="23" spans="2:16" x14ac:dyDescent="0.2">
      <c r="B23" t="s">
        <v>36</v>
      </c>
      <c r="C23" s="5">
        <v>2.5000000000000001E-2</v>
      </c>
      <c r="P23" t="s">
        <v>37</v>
      </c>
    </row>
    <row r="24" spans="2:16" x14ac:dyDescent="0.2">
      <c r="B24" t="s">
        <v>38</v>
      </c>
      <c r="C24" s="5">
        <v>0.15</v>
      </c>
      <c r="P24" t="s">
        <v>39</v>
      </c>
    </row>
    <row r="25" spans="2:16" x14ac:dyDescent="0.2">
      <c r="B25" t="s">
        <v>40</v>
      </c>
      <c r="C25" s="7">
        <v>0.17</v>
      </c>
      <c r="P25" t="s">
        <v>41</v>
      </c>
    </row>
    <row r="26" spans="2:16" x14ac:dyDescent="0.2">
      <c r="B26" t="s">
        <v>42</v>
      </c>
      <c r="C26" s="5">
        <v>0.18</v>
      </c>
      <c r="P26" t="s">
        <v>43</v>
      </c>
    </row>
    <row r="29" spans="2:16" x14ac:dyDescent="0.2">
      <c r="B29" s="1" t="s">
        <v>44</v>
      </c>
    </row>
    <row r="30" spans="2:16" x14ac:dyDescent="0.2">
      <c r="D30" s="11" t="s">
        <v>45</v>
      </c>
      <c r="E30" s="11" t="s">
        <v>46</v>
      </c>
      <c r="F30" s="11" t="s">
        <v>47</v>
      </c>
      <c r="G30" s="11" t="s">
        <v>48</v>
      </c>
      <c r="H30" s="11" t="s">
        <v>49</v>
      </c>
      <c r="I30" s="11" t="s">
        <v>50</v>
      </c>
      <c r="J30" s="11" t="s">
        <v>51</v>
      </c>
      <c r="K30" s="11" t="s">
        <v>52</v>
      </c>
      <c r="L30" s="11" t="s">
        <v>53</v>
      </c>
      <c r="M30" s="11" t="s">
        <v>54</v>
      </c>
      <c r="N30" s="11" t="s">
        <v>55</v>
      </c>
      <c r="O30" s="11" t="s">
        <v>56</v>
      </c>
    </row>
    <row r="31" spans="2:16" x14ac:dyDescent="0.2">
      <c r="B31" t="s">
        <v>57</v>
      </c>
      <c r="E31" s="7">
        <v>0.156</v>
      </c>
      <c r="F31" s="7">
        <v>0.14499999999999999</v>
      </c>
      <c r="G31" s="7">
        <v>0.12</v>
      </c>
      <c r="H31" s="7">
        <v>0.11</v>
      </c>
      <c r="I31" s="7">
        <v>0.1</v>
      </c>
      <c r="J31" s="7">
        <v>0.09</v>
      </c>
      <c r="K31" s="7">
        <v>0.08</v>
      </c>
      <c r="L31" s="7">
        <v>7.0000000000000007E-2</v>
      </c>
      <c r="M31" s="7">
        <v>0.06</v>
      </c>
      <c r="N31" s="7">
        <v>0.05</v>
      </c>
      <c r="O31" s="9">
        <f>C23</f>
        <v>2.5000000000000001E-2</v>
      </c>
      <c r="P31" t="s">
        <v>58</v>
      </c>
    </row>
    <row r="32" spans="2:16" x14ac:dyDescent="0.2">
      <c r="B32" s="1" t="s">
        <v>59</v>
      </c>
      <c r="D32" s="12">
        <f>C9</f>
        <v>716924</v>
      </c>
      <c r="E32" s="12">
        <f t="shared" ref="E32:O32" si="0">D32*(1+E31)</f>
        <v>828764.14399999997</v>
      </c>
      <c r="F32" s="12">
        <f t="shared" si="0"/>
        <v>948934.94487999997</v>
      </c>
      <c r="G32" s="12">
        <f t="shared" si="0"/>
        <v>1062807.1382656</v>
      </c>
      <c r="H32" s="12">
        <f t="shared" si="0"/>
        <v>1179715.9234748161</v>
      </c>
      <c r="I32" s="12">
        <f t="shared" si="0"/>
        <v>1297687.5158222979</v>
      </c>
      <c r="J32" s="12">
        <f t="shared" si="0"/>
        <v>1414479.3922463048</v>
      </c>
      <c r="K32" s="12">
        <f t="shared" si="0"/>
        <v>1527637.7436260092</v>
      </c>
      <c r="L32" s="12">
        <f t="shared" si="0"/>
        <v>1634572.3856798299</v>
      </c>
      <c r="M32" s="12">
        <f t="shared" si="0"/>
        <v>1732646.7288206196</v>
      </c>
      <c r="N32" s="12">
        <f t="shared" si="0"/>
        <v>1819279.0652616506</v>
      </c>
      <c r="O32" s="12">
        <f t="shared" si="0"/>
        <v>1864761.0418931916</v>
      </c>
    </row>
    <row r="33" spans="2:16" x14ac:dyDescent="0.2">
      <c r="B33" t="s">
        <v>60</v>
      </c>
      <c r="D33" s="9">
        <f>79975/716924</f>
        <v>0.11155296795755199</v>
      </c>
      <c r="E33" s="7">
        <v>0.13500000000000001</v>
      </c>
      <c r="F33" s="7">
        <v>0.14499999999999999</v>
      </c>
      <c r="G33" s="7">
        <v>0.155</v>
      </c>
      <c r="H33" s="7">
        <v>0.16</v>
      </c>
      <c r="I33" s="7">
        <v>0.17</v>
      </c>
      <c r="J33" s="7">
        <v>0.17</v>
      </c>
      <c r="K33" s="7">
        <v>0.17</v>
      </c>
      <c r="L33" s="7">
        <v>0.17</v>
      </c>
      <c r="M33" s="7">
        <v>0.17</v>
      </c>
      <c r="N33" s="7">
        <v>0.17</v>
      </c>
      <c r="O33" s="9">
        <f>C25</f>
        <v>0.17</v>
      </c>
      <c r="P33" t="s">
        <v>61</v>
      </c>
    </row>
    <row r="34" spans="2:16" x14ac:dyDescent="0.2">
      <c r="B34" t="s">
        <v>62</v>
      </c>
      <c r="E34" s="12">
        <f t="shared" ref="E34:O34" si="1">E32*E33</f>
        <v>111883.15944</v>
      </c>
      <c r="F34" s="12">
        <f t="shared" si="1"/>
        <v>137595.56700759998</v>
      </c>
      <c r="G34" s="12">
        <f t="shared" si="1"/>
        <v>164735.10643116798</v>
      </c>
      <c r="H34" s="12">
        <f t="shared" si="1"/>
        <v>188754.54775597059</v>
      </c>
      <c r="I34" s="12">
        <f t="shared" si="1"/>
        <v>220606.87768979065</v>
      </c>
      <c r="J34" s="12">
        <f t="shared" si="1"/>
        <v>240461.49668187182</v>
      </c>
      <c r="K34" s="12">
        <f t="shared" si="1"/>
        <v>259698.41641642159</v>
      </c>
      <c r="L34" s="12">
        <f t="shared" si="1"/>
        <v>277877.30556557112</v>
      </c>
      <c r="M34" s="12">
        <f t="shared" si="1"/>
        <v>294549.94389950536</v>
      </c>
      <c r="N34" s="12">
        <f t="shared" si="1"/>
        <v>309277.44109448063</v>
      </c>
      <c r="O34" s="12">
        <f t="shared" si="1"/>
        <v>317009.37712184258</v>
      </c>
    </row>
    <row r="35" spans="2:16" x14ac:dyDescent="0.2">
      <c r="B35" t="s">
        <v>63</v>
      </c>
      <c r="E35" s="12">
        <f t="shared" ref="E35:N35" si="2">E34*(1-$C$21)</f>
        <v>91744.190740800012</v>
      </c>
      <c r="F35" s="12">
        <f t="shared" si="2"/>
        <v>112828.36494623199</v>
      </c>
      <c r="G35" s="12">
        <f t="shared" si="2"/>
        <v>135082.78727355774</v>
      </c>
      <c r="H35" s="12">
        <f t="shared" si="2"/>
        <v>154778.72915989588</v>
      </c>
      <c r="I35" s="12">
        <f t="shared" si="2"/>
        <v>180897.63970562836</v>
      </c>
      <c r="J35" s="12">
        <f t="shared" si="2"/>
        <v>197178.42727913492</v>
      </c>
      <c r="K35" s="12">
        <f t="shared" si="2"/>
        <v>212952.70146146571</v>
      </c>
      <c r="L35" s="12">
        <f t="shared" si="2"/>
        <v>227859.39056376833</v>
      </c>
      <c r="M35" s="12">
        <f t="shared" si="2"/>
        <v>241530.95399759442</v>
      </c>
      <c r="N35" s="12">
        <f t="shared" si="2"/>
        <v>253607.50169747413</v>
      </c>
      <c r="O35" s="12">
        <f>O34*(1-C26)</f>
        <v>259947.68923991095</v>
      </c>
    </row>
    <row r="36" spans="2:16" x14ac:dyDescent="0.2">
      <c r="B36" t="s">
        <v>64</v>
      </c>
      <c r="E36" s="12">
        <f t="shared" ref="E36:N36" si="3">-MAX(0,E32-D32)/$C$22</f>
        <v>-93200.119999999981</v>
      </c>
      <c r="F36" s="12">
        <f t="shared" si="3"/>
        <v>-100142.33406666666</v>
      </c>
      <c r="G36" s="12">
        <f t="shared" si="3"/>
        <v>-94893.494487999997</v>
      </c>
      <c r="H36" s="12">
        <f t="shared" si="3"/>
        <v>-97423.987674346819</v>
      </c>
      <c r="I36" s="12">
        <f t="shared" si="3"/>
        <v>-98309.660289568128</v>
      </c>
      <c r="J36" s="12">
        <f t="shared" si="3"/>
        <v>-97326.563686672409</v>
      </c>
      <c r="K36" s="12">
        <f t="shared" si="3"/>
        <v>-94298.626149753691</v>
      </c>
      <c r="L36" s="12">
        <f t="shared" si="3"/>
        <v>-89112.20171151722</v>
      </c>
      <c r="M36" s="12">
        <f t="shared" si="3"/>
        <v>-81728.619283991487</v>
      </c>
      <c r="N36" s="12">
        <f t="shared" si="3"/>
        <v>-72193.613700859132</v>
      </c>
      <c r="O36" s="12">
        <f>-O35*C23/C24</f>
        <v>-43324.614873318496</v>
      </c>
      <c r="P36" t="s">
        <v>65</v>
      </c>
    </row>
    <row r="37" spans="2:16" x14ac:dyDescent="0.2">
      <c r="B37" s="1" t="s">
        <v>66</v>
      </c>
      <c r="E37" s="13">
        <f t="shared" ref="E37:O37" si="4">E35+E36</f>
        <v>-1455.9292591999692</v>
      </c>
      <c r="F37" s="13">
        <f t="shared" si="4"/>
        <v>12686.030879565325</v>
      </c>
      <c r="G37" s="13">
        <f t="shared" si="4"/>
        <v>40189.292785557744</v>
      </c>
      <c r="H37" s="13">
        <f t="shared" si="4"/>
        <v>57354.741485549064</v>
      </c>
      <c r="I37" s="13">
        <f t="shared" si="4"/>
        <v>82587.979416060232</v>
      </c>
      <c r="J37" s="13">
        <f t="shared" si="4"/>
        <v>99851.863592462512</v>
      </c>
      <c r="K37" s="13">
        <f t="shared" si="4"/>
        <v>118654.07531171202</v>
      </c>
      <c r="L37" s="13">
        <f t="shared" si="4"/>
        <v>138747.1888522511</v>
      </c>
      <c r="M37" s="13">
        <f t="shared" si="4"/>
        <v>159802.33471360293</v>
      </c>
      <c r="N37" s="13">
        <f t="shared" si="4"/>
        <v>181413.887996615</v>
      </c>
      <c r="O37" s="13">
        <f t="shared" si="4"/>
        <v>216623.07436659245</v>
      </c>
    </row>
    <row r="38" spans="2:16" x14ac:dyDescent="0.2">
      <c r="B38" t="s">
        <v>67</v>
      </c>
      <c r="E38" s="9">
        <f>(DATE(2026,12,31)-$C$6)/365</f>
        <v>0.21369863013698631</v>
      </c>
      <c r="F38" s="9">
        <v>1</v>
      </c>
      <c r="G38" s="9">
        <v>1</v>
      </c>
      <c r="H38" s="9">
        <v>1</v>
      </c>
      <c r="I38" s="9">
        <v>1</v>
      </c>
      <c r="J38" s="9">
        <v>1</v>
      </c>
      <c r="K38" s="9">
        <v>1</v>
      </c>
      <c r="L38" s="9">
        <v>1</v>
      </c>
      <c r="M38" s="9">
        <v>1</v>
      </c>
      <c r="N38" s="9">
        <v>1</v>
      </c>
    </row>
    <row r="39" spans="2:16" x14ac:dyDescent="0.2">
      <c r="B39" t="s">
        <v>68</v>
      </c>
      <c r="E39" s="14">
        <f>E38/2</f>
        <v>0.10684931506849316</v>
      </c>
      <c r="F39" s="14">
        <f>$E$38+1-0.5</f>
        <v>0.71369863013698631</v>
      </c>
      <c r="G39" s="14">
        <f>$E$38+2-0.5</f>
        <v>1.7136986301369861</v>
      </c>
      <c r="H39" s="14">
        <f>$E$38+3-0.5</f>
        <v>2.7136986301369861</v>
      </c>
      <c r="I39" s="14">
        <f>$E$38+4-0.5</f>
        <v>3.7136986301369861</v>
      </c>
      <c r="J39" s="14">
        <f>$E$38+5-0.5</f>
        <v>4.7136986301369861</v>
      </c>
      <c r="K39" s="14">
        <f>$E$38+6-0.5</f>
        <v>5.7136986301369861</v>
      </c>
      <c r="L39" s="14">
        <f>$E$38+7-0.5</f>
        <v>6.7136986301369861</v>
      </c>
      <c r="M39" s="14">
        <f>$E$38+8-0.5</f>
        <v>7.713698630136987</v>
      </c>
      <c r="N39" s="14">
        <f>$E$38+9-0.5</f>
        <v>8.713698630136987</v>
      </c>
    </row>
    <row r="40" spans="2:16" x14ac:dyDescent="0.2">
      <c r="B40" t="s">
        <v>69</v>
      </c>
      <c r="E40" s="15">
        <f t="shared" ref="E40:N40" si="5">1/(1+$C$20)^E39</f>
        <v>0.98899605276136837</v>
      </c>
      <c r="F40" s="15">
        <f t="shared" si="5"/>
        <v>0.9287570288440562</v>
      </c>
      <c r="G40" s="15">
        <f t="shared" si="5"/>
        <v>0.83739065023155479</v>
      </c>
      <c r="H40" s="15">
        <f t="shared" si="5"/>
        <v>0.75501242985797701</v>
      </c>
      <c r="I40" s="15">
        <f t="shared" si="5"/>
        <v>0.68073815856723319</v>
      </c>
      <c r="J40" s="15">
        <f t="shared" si="5"/>
        <v>0.61377061118937737</v>
      </c>
      <c r="K40" s="15">
        <f t="shared" si="5"/>
        <v>0.55339098949978383</v>
      </c>
      <c r="L40" s="15">
        <f t="shared" si="5"/>
        <v>0.49895120697634671</v>
      </c>
      <c r="M40" s="15">
        <f t="shared" si="5"/>
        <v>0.44986693254290938</v>
      </c>
      <c r="N40" s="15">
        <f t="shared" si="5"/>
        <v>0.4056113186337289</v>
      </c>
    </row>
    <row r="41" spans="2:16" x14ac:dyDescent="0.2">
      <c r="B41" s="1" t="s">
        <v>70</v>
      </c>
      <c r="E41" s="13">
        <f t="shared" ref="E41:N41" si="6">E37*E38*E40</f>
        <v>-307.70642919174554</v>
      </c>
      <c r="F41" s="13">
        <f t="shared" si="6"/>
        <v>11782.240347529041</v>
      </c>
      <c r="G41" s="13">
        <f t="shared" si="6"/>
        <v>33654.138018044534</v>
      </c>
      <c r="H41" s="13">
        <f t="shared" si="6"/>
        <v>43303.542732880516</v>
      </c>
      <c r="I41" s="13">
        <f t="shared" si="6"/>
        <v>56220.789027477404</v>
      </c>
      <c r="J41" s="13">
        <f t="shared" si="6"/>
        <v>61286.139345544056</v>
      </c>
      <c r="K41" s="13">
        <f t="shared" si="6"/>
        <v>65662.096144930183</v>
      </c>
      <c r="L41" s="13">
        <f t="shared" si="6"/>
        <v>69228.077342405799</v>
      </c>
      <c r="M41" s="13">
        <f t="shared" si="6"/>
        <v>71889.786130803841</v>
      </c>
      <c r="N41" s="13">
        <f t="shared" si="6"/>
        <v>73583.526328778607</v>
      </c>
    </row>
    <row r="43" spans="2:16" x14ac:dyDescent="0.2">
      <c r="B43" s="1" t="s">
        <v>71</v>
      </c>
    </row>
    <row r="44" spans="2:16" x14ac:dyDescent="0.2">
      <c r="B44" t="s">
        <v>72</v>
      </c>
      <c r="D44" s="12">
        <f>SUM(E41:N41)</f>
        <v>486302.6289892022</v>
      </c>
    </row>
    <row r="45" spans="2:16" x14ac:dyDescent="0.2">
      <c r="B45" t="s">
        <v>73</v>
      </c>
      <c r="D45" s="12">
        <f>O37/(C20-C23)</f>
        <v>2575521.5737541057</v>
      </c>
    </row>
    <row r="46" spans="2:16" x14ac:dyDescent="0.2">
      <c r="B46" t="s">
        <v>74</v>
      </c>
      <c r="D46" s="12">
        <f>D45/(1+C20)^(E38+9)</f>
        <v>991946.51193962269</v>
      </c>
    </row>
    <row r="47" spans="2:16" x14ac:dyDescent="0.2">
      <c r="B47" s="1" t="s">
        <v>75</v>
      </c>
      <c r="D47" s="13">
        <f>D44+D46</f>
        <v>1478249.1409288249</v>
      </c>
    </row>
    <row r="48" spans="2:16" x14ac:dyDescent="0.2">
      <c r="B48" t="s">
        <v>76</v>
      </c>
      <c r="D48" s="9">
        <f>D46/D47</f>
        <v>0.67102796441765911</v>
      </c>
    </row>
    <row r="49" spans="2:16" x14ac:dyDescent="0.2">
      <c r="B49" t="s">
        <v>77</v>
      </c>
      <c r="D49" s="12">
        <f>C10</f>
        <v>-9236</v>
      </c>
    </row>
    <row r="50" spans="2:16" x14ac:dyDescent="0.2">
      <c r="B50" s="1" t="s">
        <v>78</v>
      </c>
      <c r="D50" s="13">
        <f>D47+D49</f>
        <v>1469013.1409288249</v>
      </c>
    </row>
    <row r="51" spans="2:16" x14ac:dyDescent="0.2">
      <c r="B51" s="1" t="s">
        <v>79</v>
      </c>
      <c r="D51" s="20">
        <f>D50/C8</f>
        <v>136.19249797695457</v>
      </c>
    </row>
    <row r="52" spans="2:16" x14ac:dyDescent="0.2">
      <c r="B52" t="s">
        <v>80</v>
      </c>
      <c r="D52" s="21">
        <f>C7</f>
        <v>254.08</v>
      </c>
    </row>
    <row r="53" spans="2:16" x14ac:dyDescent="0.2">
      <c r="B53" s="1" t="s">
        <v>81</v>
      </c>
      <c r="D53" s="16">
        <f>D51/D52-1</f>
        <v>-0.46397788894460579</v>
      </c>
    </row>
    <row r="54" spans="2:16" x14ac:dyDescent="0.2">
      <c r="B54" t="s">
        <v>82</v>
      </c>
      <c r="D54" s="17">
        <f>C7/12.43</f>
        <v>20.440868865647627</v>
      </c>
      <c r="P54" t="s">
        <v>83</v>
      </c>
    </row>
    <row r="55" spans="2:16" x14ac:dyDescent="0.2">
      <c r="B55" t="s">
        <v>84</v>
      </c>
      <c r="D55" s="17">
        <f>D51/12.43</f>
        <v>10.956757681170924</v>
      </c>
    </row>
    <row r="58" spans="2:16" x14ac:dyDescent="0.2">
      <c r="B58" s="1" t="s">
        <v>85</v>
      </c>
    </row>
    <row r="59" spans="2:16" x14ac:dyDescent="0.2">
      <c r="B59" t="s">
        <v>86</v>
      </c>
      <c r="D59" s="18">
        <v>0.12</v>
      </c>
      <c r="E59" s="18">
        <v>0.14499999999999999</v>
      </c>
      <c r="F59" s="18">
        <v>0.17</v>
      </c>
      <c r="G59" s="18">
        <v>0.19500000000000001</v>
      </c>
      <c r="H59" s="18">
        <v>0.22</v>
      </c>
    </row>
    <row r="60" spans="2:16" x14ac:dyDescent="0.2">
      <c r="C60" s="18">
        <f>$C$20+(-0.03)</f>
        <v>7.9108429365955787E-2</v>
      </c>
      <c r="D60" s="21">
        <f t="shared" ref="D60:H64" si="7">(SUMPRODUCT($E$37:$H$37,$E$38:$H$38,1/(1+$C60)^$E$39:$H$39)+SUMPRODUCT($I$32:$N$32*($I$33:$N$33+D$59-$C$25)*(1-$C$21)+$I$36:$N$36,1/(1+$C60)^$I$39:$N$39)+$O$32*D$59*(1-$C$26)*(1-$C$23/$C$24)/($C60-$C$23)/(1+$C60)^($E$38+9)+$C$10)/$C$8</f>
        <v>159.52511293978012</v>
      </c>
      <c r="E60" s="21">
        <f t="shared" si="7"/>
        <v>197.68053672648466</v>
      </c>
      <c r="F60" s="21">
        <f t="shared" si="7"/>
        <v>235.83596051318929</v>
      </c>
      <c r="G60" s="21">
        <f t="shared" si="7"/>
        <v>273.99138429989381</v>
      </c>
      <c r="H60" s="21">
        <f t="shared" si="7"/>
        <v>312.14680808659836</v>
      </c>
      <c r="P60" t="s">
        <v>87</v>
      </c>
    </row>
    <row r="61" spans="2:16" x14ac:dyDescent="0.2">
      <c r="C61" s="18">
        <f>$C$20+(-0.015)</f>
        <v>9.4108429365955787E-2</v>
      </c>
      <c r="D61" s="21">
        <f t="shared" si="7"/>
        <v>117.01156821836489</v>
      </c>
      <c r="E61" s="21">
        <f t="shared" si="7"/>
        <v>145.85626591241123</v>
      </c>
      <c r="F61" s="21">
        <f t="shared" si="7"/>
        <v>174.70096360645761</v>
      </c>
      <c r="G61" s="21">
        <f t="shared" si="7"/>
        <v>203.54566130050395</v>
      </c>
      <c r="H61" s="21">
        <f t="shared" si="7"/>
        <v>232.39035899455035</v>
      </c>
    </row>
    <row r="62" spans="2:16" x14ac:dyDescent="0.2">
      <c r="C62" s="18">
        <f>$C$20+(0)</f>
        <v>0.10910842936595579</v>
      </c>
      <c r="D62" s="21">
        <f t="shared" si="7"/>
        <v>90.405318908420881</v>
      </c>
      <c r="E62" s="21">
        <f t="shared" si="7"/>
        <v>113.29890844268772</v>
      </c>
      <c r="F62" s="21">
        <f t="shared" si="7"/>
        <v>136.19249797695457</v>
      </c>
      <c r="G62" s="21">
        <f t="shared" si="7"/>
        <v>159.08608751122139</v>
      </c>
      <c r="H62" s="21">
        <f t="shared" si="7"/>
        <v>181.97967704548819</v>
      </c>
    </row>
    <row r="63" spans="2:16" x14ac:dyDescent="0.2">
      <c r="C63" s="18">
        <f>$C$20+(0.015)</f>
        <v>0.12410842936595579</v>
      </c>
      <c r="D63" s="21">
        <f t="shared" si="7"/>
        <v>72.39853903031603</v>
      </c>
      <c r="E63" s="21">
        <f t="shared" si="7"/>
        <v>91.173001526710195</v>
      </c>
      <c r="F63" s="21">
        <f t="shared" si="7"/>
        <v>109.94746402310442</v>
      </c>
      <c r="G63" s="21">
        <f t="shared" si="7"/>
        <v>128.7219265194986</v>
      </c>
      <c r="H63" s="21">
        <f t="shared" si="7"/>
        <v>147.49638901589276</v>
      </c>
    </row>
    <row r="64" spans="2:16" x14ac:dyDescent="0.2">
      <c r="C64" s="18">
        <f>$C$20+(0.03)</f>
        <v>0.1391084293659558</v>
      </c>
      <c r="D64" s="21">
        <f t="shared" si="7"/>
        <v>59.536984956383577</v>
      </c>
      <c r="E64" s="21">
        <f t="shared" si="7"/>
        <v>75.300150640521437</v>
      </c>
      <c r="F64" s="21">
        <f t="shared" si="7"/>
        <v>91.063316324659326</v>
      </c>
      <c r="G64" s="21">
        <f t="shared" si="7"/>
        <v>106.82648200879717</v>
      </c>
      <c r="H64" s="21">
        <f t="shared" si="7"/>
        <v>122.58964769293507</v>
      </c>
    </row>
    <row r="66" spans="2:2" x14ac:dyDescent="0.2">
      <c r="B66" s="1" t="s">
        <v>88</v>
      </c>
    </row>
    <row r="67" spans="2:2" x14ac:dyDescent="0.2">
      <c r="B67" t="s">
        <v>89</v>
      </c>
    </row>
    <row r="68" spans="2:2" x14ac:dyDescent="0.2">
      <c r="B68" t="s">
        <v>90</v>
      </c>
    </row>
    <row r="69" spans="2:2" x14ac:dyDescent="0.2">
      <c r="B69" t="s">
        <v>91</v>
      </c>
    </row>
    <row r="70" spans="2:2" x14ac:dyDescent="0.2">
      <c r="B70" t="s">
        <v>92</v>
      </c>
    </row>
    <row r="71" spans="2:2" x14ac:dyDescent="0.2">
      <c r="B71" t="s">
        <v>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 Cong Tan</cp:lastModifiedBy>
  <dcterms:created xsi:type="dcterms:W3CDTF">2026-10-06T20:35:55Z</dcterms:created>
  <dcterms:modified xsi:type="dcterms:W3CDTF">2026-10-19T05:59:24Z</dcterms:modified>
</cp:coreProperties>
</file>