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xr:revisionPtr revIDLastSave="0" documentId="13_ncr:1_{070D5DF8-7A68-864A-8A0C-4C4E879229B9}" xr6:coauthVersionLast="47" xr6:coauthVersionMax="47" xr10:uidLastSave="{00000000-0000-0000-0000-000000000000}"/>
  <bookViews>
    <workbookView xWindow="0" yWindow="600" windowWidth="34200" windowHeight="19200" xr2:uid="{00000000-000D-0000-FFFF-FFFF00000000}"/>
  </bookViews>
  <sheets>
    <sheet name="DC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52" i="1"/>
  <c r="E38" i="1"/>
  <c r="F39" i="1" s="1"/>
  <c r="O33" i="1"/>
  <c r="D33" i="1"/>
  <c r="O31" i="1"/>
  <c r="C19" i="1"/>
  <c r="C16" i="1"/>
  <c r="C20" i="1" s="1"/>
  <c r="C10" i="1"/>
  <c r="D49" i="1" s="1"/>
  <c r="C9" i="1"/>
  <c r="D32" i="1" s="1"/>
  <c r="E32" i="1" s="1"/>
  <c r="G39" i="1" l="1"/>
  <c r="L39" i="1"/>
  <c r="L40" i="1" s="1"/>
  <c r="H39" i="1"/>
  <c r="I39" i="1"/>
  <c r="J39" i="1"/>
  <c r="K39" i="1"/>
  <c r="K40" i="1" s="1"/>
  <c r="F32" i="1"/>
  <c r="E34" i="1"/>
  <c r="E35" i="1" s="1"/>
  <c r="E36" i="1"/>
  <c r="F40" i="1"/>
  <c r="C63" i="1"/>
  <c r="C61" i="1"/>
  <c r="C64" i="1"/>
  <c r="I40" i="1"/>
  <c r="J40" i="1"/>
  <c r="C62" i="1"/>
  <c r="C60" i="1"/>
  <c r="G40" i="1"/>
  <c r="H40" i="1"/>
  <c r="N39" i="1"/>
  <c r="N40" i="1" s="1"/>
  <c r="M39" i="1"/>
  <c r="M40" i="1" s="1"/>
  <c r="E39" i="1"/>
  <c r="E40" i="1" s="1"/>
  <c r="E37" i="1" l="1"/>
  <c r="F34" i="1"/>
  <c r="F35" i="1" s="1"/>
  <c r="F36" i="1"/>
  <c r="G32" i="1"/>
  <c r="G34" i="1" l="1"/>
  <c r="G35" i="1" s="1"/>
  <c r="G36" i="1"/>
  <c r="H32" i="1"/>
  <c r="F37" i="1"/>
  <c r="F41" i="1" s="1"/>
  <c r="E41" i="1"/>
  <c r="H36" i="1" l="1"/>
  <c r="H34" i="1"/>
  <c r="H35" i="1" s="1"/>
  <c r="H37" i="1" s="1"/>
  <c r="H41" i="1" s="1"/>
  <c r="I32" i="1"/>
  <c r="G37" i="1"/>
  <c r="G41" i="1" s="1"/>
  <c r="I36" i="1" l="1"/>
  <c r="I34" i="1"/>
  <c r="I35" i="1" s="1"/>
  <c r="I37" i="1" s="1"/>
  <c r="I41" i="1" s="1"/>
  <c r="J32" i="1"/>
  <c r="K32" i="1" l="1"/>
  <c r="J34" i="1"/>
  <c r="J35" i="1" s="1"/>
  <c r="J36" i="1"/>
  <c r="J37" i="1" l="1"/>
  <c r="J41" i="1" s="1"/>
  <c r="K34" i="1"/>
  <c r="K35" i="1" s="1"/>
  <c r="K36" i="1"/>
  <c r="L32" i="1"/>
  <c r="M32" i="1" l="1"/>
  <c r="L34" i="1"/>
  <c r="L35" i="1" s="1"/>
  <c r="L36" i="1"/>
  <c r="K37" i="1"/>
  <c r="K41" i="1" s="1"/>
  <c r="L37" i="1" l="1"/>
  <c r="L41" i="1" s="1"/>
  <c r="N32" i="1"/>
  <c r="M36" i="1"/>
  <c r="M34" i="1"/>
  <c r="M35" i="1" s="1"/>
  <c r="M37" i="1" s="1"/>
  <c r="M41" i="1" s="1"/>
  <c r="N36" i="1" l="1"/>
  <c r="N34" i="1"/>
  <c r="N35" i="1" s="1"/>
  <c r="N37" i="1" s="1"/>
  <c r="N41" i="1" s="1"/>
  <c r="D44" i="1" s="1"/>
  <c r="O32" i="1"/>
  <c r="O34" i="1" l="1"/>
  <c r="O35" i="1" s="1"/>
  <c r="D63" i="1"/>
  <c r="G61" i="1"/>
  <c r="D62" i="1"/>
  <c r="D61" i="1"/>
  <c r="H64" i="1"/>
  <c r="E63" i="1"/>
  <c r="E61" i="1"/>
  <c r="D60" i="1"/>
  <c r="E64" i="1"/>
  <c r="G63" i="1"/>
  <c r="H60" i="1"/>
  <c r="F64" i="1"/>
  <c r="H62" i="1"/>
  <c r="F61" i="1"/>
  <c r="F60" i="1"/>
  <c r="G62" i="1"/>
  <c r="D64" i="1"/>
  <c r="G64" i="1"/>
  <c r="F62" i="1"/>
  <c r="G60" i="1"/>
  <c r="E60" i="1"/>
  <c r="F63" i="1"/>
  <c r="E62" i="1"/>
  <c r="H63" i="1"/>
  <c r="H61" i="1"/>
  <c r="O36" i="1" l="1"/>
  <c r="O37" i="1" s="1"/>
  <c r="D45" i="1" s="1"/>
  <c r="D46" i="1" s="1"/>
  <c r="D47" i="1" l="1"/>
  <c r="D50" i="1" s="1"/>
  <c r="D51" i="1" s="1"/>
  <c r="D55" i="1" l="1"/>
  <c r="D53" i="1"/>
  <c r="D48" i="1"/>
</calcChain>
</file>

<file path=xl/sharedStrings.xml><?xml version="1.0" encoding="utf-8"?>
<sst xmlns="http://schemas.openxmlformats.org/spreadsheetml/2006/main" count="95" uniqueCount="95">
  <si>
    <t>Apple Inc. (AAPL) · Independent 10-year DCF</t>
  </si>
  <si>
    <t>USD millions unless stated · valuation date 14 Oct 2026 · blue = input, black = formula, yellow = key judgment</t>
  </si>
  <si>
    <t>INPUTS</t>
  </si>
  <si>
    <t>Valuation date</t>
  </si>
  <si>
    <t>Today</t>
  </si>
  <si>
    <t>Share price ($)</t>
  </si>
  <si>
    <t>Yahoo Finance AAPL, close 14 Oct 2026</t>
  </si>
  <si>
    <t>Shares outstanding (millions)</t>
  </si>
  <si>
    <t>Shares outstanding at 17 Jul 2026, cover of the Q3 FY2026 Form 10-Q (14,594,180,000). Falls each year with buybacks</t>
  </si>
  <si>
    <t>Calendar 2025 revenue</t>
  </si>
  <si>
    <t>Calendar 2025 = the four quarters ending Mar, Jun, Sep and Dec 2025 ($95,359m + $94,036m + $102,466m + $143,756m), from Apple's 10-Q and 10-K filings. Apple's fiscal year ends in late September</t>
  </si>
  <si>
    <t>Net cash / (net debt)</t>
  </si>
  <si>
    <t>27 Jun 2026, Q3 FY2026 Form 10-Q: cash 39,544 + current marketable securities 22,855 + non-current marketable securities 84,118 − term debt 82,347 − commercial paper 1,997</t>
  </si>
  <si>
    <t>Total debt</t>
  </si>
  <si>
    <t>Term debt + commercial paper, Q3 FY2026 Form 10-Q. Used only to weight debt in the cost of capital</t>
  </si>
  <si>
    <t>Risk-free rate (US 10-yr)</t>
  </si>
  <si>
    <t>^TNX 5.19%, close 14 Oct 2026 (Yahoo Finance)</t>
  </si>
  <si>
    <t>Beta</t>
  </si>
  <si>
    <t>Equity risk premium</t>
  </si>
  <si>
    <t>Judgment: mid-range, same as the other models</t>
  </si>
  <si>
    <t>Country risk premium</t>
  </si>
  <si>
    <t>None: US company</t>
  </si>
  <si>
    <t>Cost of equity</t>
  </si>
  <si>
    <t>Risk-free rate + beta × equity risk premium + country premium</t>
  </si>
  <si>
    <t>Cost of debt (before tax)</t>
  </si>
  <si>
    <t>Judgment: risk-free rate plus 0.5% (AA+ credit)</t>
  </si>
  <si>
    <t>Tax saving on interest</t>
  </si>
  <si>
    <t>US federal corporate tax rate</t>
  </si>
  <si>
    <t>Debt share of capital</t>
  </si>
  <si>
    <t>Total debt ÷ (total debt + market value of the shares)</t>
  </si>
  <si>
    <t>WACC</t>
  </si>
  <si>
    <t>Weighted average cost of capital: the discount rate</t>
  </si>
  <si>
    <t>Tax rate (forecast)</t>
  </si>
  <si>
    <t>Judgment. Effective rate FY2025 15.6% ($20,719m ÷ $132,729m); first nine months of FY2026 17.6%</t>
  </si>
  <si>
    <t>Net investment (% of revenue)</t>
  </si>
  <si>
    <t>Judgment. Capital spending above depreciation: FY2025 $12.7bn − $11.7bn = 0.2% of revenue. Apple is paid by customers before it pays suppliers, so growth needs little extra capital</t>
  </si>
  <si>
    <t>Terminal growth</t>
  </si>
  <si>
    <t>Judgment: below the long-run US nominal growth rate. Services (about a quarter of sales) keeps growing as the installed base grows</t>
  </si>
  <si>
    <t>Terminal ROIC</t>
  </si>
  <si>
    <t>Judgment: Apple earns far more than its cost of capital and this should last; 30% is still well below today's level</t>
  </si>
  <si>
    <t>Terminal operating margin</t>
  </si>
  <si>
    <t>Judgment: close to today. Calendar 2025 32.4%, first half of calendar 2026 32.4%. Services margins are about 75%, hardware about 36%</t>
  </si>
  <si>
    <t>Terminal tax rate</t>
  </si>
  <si>
    <t>Long-run rate</t>
  </si>
  <si>
    <t>PROJECTION</t>
  </si>
  <si>
    <t>2025A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</si>
  <si>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</si>
  <si>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</si>
  <si>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</si>
  <si>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</si>
  <si>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</si>
  <si>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</si>
  <si>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</si>
  <si>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</si>
  <si>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</si>
  <si>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</si>
  <si>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Terminal</t>
  </si>
  <si>
    <t>Revenue growth</t>
  </si>
  <si>
    <t>2026E +12.0% and 2027E +10.8% = analyst averages on Yahoo Finance (40 analysts), turned into calendar years: actual quarters to Jun 2026 + Sep and Dec 2026 quarter estimates ($113.6bn, $153.9bn). Then 7% fading to 3%</t>
  </si>
  <si>
    <t>Revenue</t>
  </si>
  <si>
    <t>Operating margin</t>
  </si>
  <si>
    <t>Calendar 2025 actual 32.4% ($141,070m operating income). I keep about 33%, easing to 32% as hardware matures</t>
  </si>
  <si>
    <t>EBIT</t>
  </si>
  <si>
    <t>NOPAT</t>
  </si>
  <si>
    <t>Less: net investment (revenue × rate)</t>
  </si>
  <si>
    <t>Capital spending above depreciation, as a share of revenue. Terminal: NOPAT × growth ÷ ROIC</t>
  </si>
  <si>
    <t>Free cash flow to firm</t>
  </si>
  <si>
    <t>Share of year counted</t>
  </si>
  <si>
    <t>Years to cash flow (mid-year)</t>
  </si>
  <si>
    <t>Discount factor</t>
  </si>
  <si>
    <t>Present value</t>
  </si>
  <si>
    <t>VALUATION</t>
  </si>
  <si>
    <t>PV of 2026–2035 cash flows</t>
  </si>
  <si>
    <t>Terminal value (end of 2035)</t>
  </si>
  <si>
    <t>PV of terminal value</t>
  </si>
  <si>
    <t>Enterprise value</t>
  </si>
  <si>
    <t xml:space="preserve">  Terminal value share of EV</t>
  </si>
  <si>
    <t>Plus: net cash / (less: net debt)</t>
  </si>
  <si>
    <t>Equity value</t>
  </si>
  <si>
    <t>Value per share ($)</t>
  </si>
  <si>
    <t>Current price ($)</t>
  </si>
  <si>
    <t>Upside / (downside)</t>
  </si>
  <si>
    <t>Current P/E (last 4 quarters)</t>
  </si>
  <si>
    <t>Diluted EPS, last four quarters: FY2025 $7.46 + 9M FY2026 $6.88 − 9M FY2025 $5.62 = $8.72 (10-K, 10-Q)</t>
  </si>
  <si>
    <t>P/E at DCF value</t>
  </si>
  <si>
    <t>SENSITIVITY: value per share ($)</t>
  </si>
  <si>
    <t>WACC ↓ / terminal operating margin →</t>
  </si>
  <si>
    <t>Terminal margin set to the column value, and each margin from 2030 on moved by the same amount; centre = base case</t>
  </si>
  <si>
    <t>Notes</t>
  </si>
  <si>
    <t>Base case: $148.68 a share against a price of $342.96 (-57%). WACC 10.0%; terminal value is 51% of enterprise value.</t>
  </si>
  <si>
    <t>Apple is a steady, very profitable business, so the question is only what it is worth per dollar of profit. At a 5.2% risk-free rate, a 10% discount rate and analyst growth, the base case is well below the price.</t>
  </si>
  <si>
    <t>On margin alone the price needs about 85%, which no hardware company earns. So the price is really betting on faster growth for longer, or a lower discount rate. Try growth of 8% to 10% a year through 2035, or a beta of 0.8.</t>
  </si>
  <si>
    <t>Net cash of $62bn after $85bn of debt.</t>
  </si>
  <si>
    <t>Sources: Apple FY2025 Form 10-K and FY2026 10-Q filings via SEC EDGAR; analyst estimates and price from Yahoo Finance, 14 Oct 2026.</t>
  </si>
  <si>
    <t>Judgment. 5-year monthly regression against the S&amp;P 500 gives 1.10. Blended toward 1: 0.67 × 1.10 + 0.33 = 1.07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</si>
</sst>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&quot;$&quot;#,##0.00"/>
    <numFmt numFmtId="166" formatCode="#,##0.0"/>
    <numFmt numFmtId="167" formatCode="#,##0;\(#,##0\);&quot;-&quot;"/>
    <numFmt numFmtId="168" formatCode="0.0%;\(0.0%\);&quot;-&quot;"/>
    <numFmt numFmtId="169" formatCode="0.000"/>
    <numFmt numFmtId="170" formatCode="0.0&quot;x&quot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7" fontId="0" fillId="0" borderId="0" xfId="0" applyNumberFormat="1"/>
    <xf numFmtId="168" fontId="2" fillId="0" borderId="0" xfId="0" applyNumberFormat="1" applyFont="1"/>
    <xf numFmtId="2" fontId="2" fillId="2" borderId="0" xfId="0" applyNumberFormat="1" applyFont="1" applyFill="1"/>
    <xf numFmtId="168" fontId="2" fillId="2" borderId="0" xfId="0" applyNumberFormat="1" applyFont="1" applyFill="1"/>
    <xf numFmtId="168" fontId="3" fillId="0" borderId="0" xfId="0" applyNumberFormat="1" applyFont="1"/>
    <xf numFmtId="168" fontId="0" fillId="0" borderId="0" xfId="0" applyNumberFormat="1"/>
    <xf numFmtId="168" fontId="1" fillId="0" borderId="0" xfId="0" applyNumberFormat="1" applyFont="1"/>
    <xf numFmtId="0" fontId="1" fillId="3" borderId="0" xfId="0" applyFont="1" applyFill="1" applyAlignment="1">
      <alignment horizontal="right"/>
    </xf>
    <xf numFmtId="167" fontId="1" fillId="0" borderId="0" xfId="0" applyNumberFormat="1" applyFont="1"/>
    <xf numFmtId="2" fontId="0" fillId="0" borderId="0" xfId="0" applyNumberFormat="1"/>
    <xf numFmtId="169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  <xf numFmtId="168" fontId="1" fillId="2" borderId="0" xfId="0" applyNumberFormat="1" applyFont="1" applyFill="1"/>
    <xf numFmtId="170" fontId="0" fillId="0" borderId="0" xfId="0" applyNumberFormat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71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4" customWidth="1"/>
    <col min="3" max="3" width="13" customWidth="1"/>
    <col min="4" max="15" width="11" customWidth="1"/>
    <col min="16" max="16" width="120" customWidth="1"/>
  </cols>
  <sheetData>
    <row r="2" spans="2:16" x14ac:dyDescent="0.2">
      <c r="B2" s="1" t="s">
        <v>0</v>
      </c>
    </row>
    <row r="3" spans="2:16" x14ac:dyDescent="0.2">
      <c r="B3" t="s">
        <v>1</v>
      </c>
    </row>
    <row r="5" spans="2:16" x14ac:dyDescent="0.2">
      <c r="B5" s="1" t="s">
        <v>2</v>
      </c>
    </row>
    <row r="6" spans="2:16" x14ac:dyDescent="0.2">
      <c r="B6" t="s">
        <v>3</v>
      </c>
      <c r="C6" s="2">
        <v>46309</v>
      </c>
      <c r="P6" t="s">
        <v>4</v>
      </c>
    </row>
    <row r="7" spans="2:16" x14ac:dyDescent="0.2">
      <c r="B7" t="s">
        <v>5</v>
      </c>
      <c r="C7" s="3">
        <v>342.96</v>
      </c>
      <c r="P7" t="s">
        <v>6</v>
      </c>
    </row>
    <row r="8" spans="2:16" x14ac:dyDescent="0.2">
      <c r="B8" t="s">
        <v>7</v>
      </c>
      <c r="C8" s="4">
        <v>14594.2</v>
      </c>
      <c r="P8" t="s">
        <v>8</v>
      </c>
    </row>
    <row r="9" spans="2:16" x14ac:dyDescent="0.2">
      <c r="B9" t="s">
        <v>9</v>
      </c>
      <c r="C9" s="5">
        <f>95359+94036+102466+143756</f>
        <v>435617</v>
      </c>
      <c r="P9" t="s">
        <v>10</v>
      </c>
    </row>
    <row r="10" spans="2:16" x14ac:dyDescent="0.2">
      <c r="B10" t="s">
        <v>11</v>
      </c>
      <c r="C10" s="6">
        <f>39544+22855+84118-(11007+71340+1997)</f>
        <v>62173</v>
      </c>
      <c r="P10" t="s">
        <v>12</v>
      </c>
    </row>
    <row r="11" spans="2:16" x14ac:dyDescent="0.2">
      <c r="B11" t="s">
        <v>13</v>
      </c>
      <c r="C11" s="5">
        <v>84344</v>
      </c>
      <c r="P11" t="s">
        <v>14</v>
      </c>
    </row>
    <row r="12" spans="2:16" x14ac:dyDescent="0.2">
      <c r="B12" t="s">
        <v>15</v>
      </c>
      <c r="C12" s="7">
        <v>5.1900000000000002E-2</v>
      </c>
      <c r="P12" t="s">
        <v>16</v>
      </c>
    </row>
    <row r="13" spans="2:16" x14ac:dyDescent="0.2">
      <c r="B13" t="s">
        <v>17</v>
      </c>
      <c r="C13" s="8">
        <v>1.07</v>
      </c>
      <c r="P13" t="s">
        <v>94</v>
      </c>
    </row>
    <row r="14" spans="2:16" x14ac:dyDescent="0.2">
      <c r="B14" t="s">
        <v>18</v>
      </c>
      <c r="C14" s="9">
        <v>4.4999999999999998E-2</v>
      </c>
      <c r="P14" t="s">
        <v>19</v>
      </c>
    </row>
    <row r="15" spans="2:16" x14ac:dyDescent="0.2">
      <c r="B15" t="s">
        <v>20</v>
      </c>
      <c r="C15" s="7">
        <v>0</v>
      </c>
      <c r="P15" t="s">
        <v>21</v>
      </c>
    </row>
    <row r="16" spans="2:16" x14ac:dyDescent="0.2">
      <c r="B16" t="s">
        <v>22</v>
      </c>
      <c r="C16" s="10">
        <f>C12+C13*C14+C15</f>
        <v>0.10005</v>
      </c>
      <c r="P16" t="s">
        <v>23</v>
      </c>
    </row>
    <row r="17" spans="2:16" x14ac:dyDescent="0.2">
      <c r="B17" t="s">
        <v>24</v>
      </c>
      <c r="C17" s="7">
        <v>5.7000000000000002E-2</v>
      </c>
      <c r="P17" t="s">
        <v>25</v>
      </c>
    </row>
    <row r="18" spans="2:16" x14ac:dyDescent="0.2">
      <c r="B18" t="s">
        <v>26</v>
      </c>
      <c r="C18" s="7">
        <v>0.21</v>
      </c>
      <c r="P18" t="s">
        <v>27</v>
      </c>
    </row>
    <row r="19" spans="2:16" x14ac:dyDescent="0.2">
      <c r="B19" t="s">
        <v>28</v>
      </c>
      <c r="C19" s="11">
        <f>C11/(C11+C7*C8)</f>
        <v>1.6571927729092266E-2</v>
      </c>
      <c r="P19" t="s">
        <v>29</v>
      </c>
    </row>
    <row r="20" spans="2:16" x14ac:dyDescent="0.2">
      <c r="B20" t="s">
        <v>30</v>
      </c>
      <c r="C20" s="12">
        <f>C16*(1-C19)+C17*(1-C18)*C19</f>
        <v>9.9138212536345346E-2</v>
      </c>
      <c r="P20" t="s">
        <v>31</v>
      </c>
    </row>
    <row r="21" spans="2:16" x14ac:dyDescent="0.2">
      <c r="B21" t="s">
        <v>32</v>
      </c>
      <c r="C21" s="9">
        <v>0.16</v>
      </c>
      <c r="P21" t="s">
        <v>33</v>
      </c>
    </row>
    <row r="22" spans="2:16" x14ac:dyDescent="0.2">
      <c r="B22" t="s">
        <v>34</v>
      </c>
      <c r="C22" s="9">
        <v>0.01</v>
      </c>
      <c r="P22" t="s">
        <v>35</v>
      </c>
    </row>
    <row r="23" spans="2:16" x14ac:dyDescent="0.2">
      <c r="B23" t="s">
        <v>36</v>
      </c>
      <c r="C23" s="7">
        <v>2.5000000000000001E-2</v>
      </c>
      <c r="P23" t="s">
        <v>37</v>
      </c>
    </row>
    <row r="24" spans="2:16" x14ac:dyDescent="0.2">
      <c r="B24" t="s">
        <v>38</v>
      </c>
      <c r="C24" s="7">
        <v>0.3</v>
      </c>
      <c r="P24" t="s">
        <v>39</v>
      </c>
    </row>
    <row r="25" spans="2:16" x14ac:dyDescent="0.2">
      <c r="B25" t="s">
        <v>40</v>
      </c>
      <c r="C25" s="9">
        <v>0.32</v>
      </c>
      <c r="P25" t="s">
        <v>41</v>
      </c>
    </row>
    <row r="26" spans="2:16" x14ac:dyDescent="0.2">
      <c r="B26" t="s">
        <v>42</v>
      </c>
      <c r="C26" s="7">
        <v>0.16</v>
      </c>
      <c r="P26" t="s">
        <v>43</v>
      </c>
    </row>
    <row r="29" spans="2:16" x14ac:dyDescent="0.2">
      <c r="B29" s="1" t="s">
        <v>44</v>
      </c>
    </row>
    <row r="30" spans="2:16" x14ac:dyDescent="0.2">
      <c r="D30" s="13" t="s">
        <v>45</v>
      </c>
      <c r="E30" s="13" t="s">
        <v>46</v>
      </c>
      <c r="F30" s="13" t="s">
        <v>47</v>
      </c>
      <c r="G30" s="13" t="s">
        <v>48</v>
      </c>
      <c r="H30" s="13" t="s">
        <v>49</v>
      </c>
      <c r="I30" s="13" t="s">
        <v>50</v>
      </c>
      <c r="J30" s="13" t="s">
        <v>51</v>
      </c>
      <c r="K30" s="13" t="s">
        <v>52</v>
      </c>
      <c r="L30" s="13" t="s">
        <v>53</v>
      </c>
      <c r="M30" s="13" t="s">
        <v>54</v>
      </c>
      <c r="N30" s="13" t="s">
        <v>55</v>
      </c>
      <c r="O30" s="13" t="s">
        <v>56</v>
      </c>
    </row>
    <row r="31" spans="2:16" x14ac:dyDescent="0.2">
      <c r="B31" t="s">
        <v>57</v>
      </c>
      <c r="E31" s="9">
        <v>0.12</v>
      </c>
      <c r="F31" s="9">
        <v>0.108</v>
      </c>
      <c r="G31" s="9">
        <v>7.0000000000000007E-2</v>
      </c>
      <c r="H31" s="9">
        <v>0.06</v>
      </c>
      <c r="I31" s="9">
        <v>0.05</v>
      </c>
      <c r="J31" s="9">
        <v>0.05</v>
      </c>
      <c r="K31" s="9">
        <v>0.04</v>
      </c>
      <c r="L31" s="9">
        <v>0.04</v>
      </c>
      <c r="M31" s="9">
        <v>0.03</v>
      </c>
      <c r="N31" s="9">
        <v>0.03</v>
      </c>
      <c r="O31" s="11">
        <f>C23</f>
        <v>2.5000000000000001E-2</v>
      </c>
      <c r="P31" t="s">
        <v>58</v>
      </c>
    </row>
    <row r="32" spans="2:16" x14ac:dyDescent="0.2">
      <c r="B32" s="1" t="s">
        <v>59</v>
      </c>
      <c r="D32" s="6">
        <f>C9</f>
        <v>435617</v>
      </c>
      <c r="E32" s="6">
        <f t="shared" ref="E32:O32" si="0">D32*(1+E31)</f>
        <v>487891.04000000004</v>
      </c>
      <c r="F32" s="6">
        <f t="shared" si="0"/>
        <v>540583.27232000011</v>
      </c>
      <c r="G32" s="6">
        <f t="shared" si="0"/>
        <v>578424.10138240014</v>
      </c>
      <c r="H32" s="6">
        <f t="shared" si="0"/>
        <v>613129.54746534419</v>
      </c>
      <c r="I32" s="6">
        <f t="shared" si="0"/>
        <v>643786.02483861148</v>
      </c>
      <c r="J32" s="6">
        <f t="shared" si="0"/>
        <v>675975.32608054206</v>
      </c>
      <c r="K32" s="6">
        <f t="shared" si="0"/>
        <v>703014.33912376373</v>
      </c>
      <c r="L32" s="6">
        <f t="shared" si="0"/>
        <v>731134.91268871434</v>
      </c>
      <c r="M32" s="6">
        <f t="shared" si="0"/>
        <v>753068.96006937581</v>
      </c>
      <c r="N32" s="6">
        <f t="shared" si="0"/>
        <v>775661.02887145709</v>
      </c>
      <c r="O32" s="6">
        <f t="shared" si="0"/>
        <v>795052.5545932434</v>
      </c>
    </row>
    <row r="33" spans="2:16" x14ac:dyDescent="0.2">
      <c r="B33" t="s">
        <v>60</v>
      </c>
      <c r="D33" s="11">
        <f>(29589+28202+32427+50852)/(95359+94036+102466+143756)</f>
        <v>0.32383951957797791</v>
      </c>
      <c r="E33" s="9">
        <v>0.33</v>
      </c>
      <c r="F33" s="9">
        <v>0.33</v>
      </c>
      <c r="G33" s="9">
        <v>0.33</v>
      </c>
      <c r="H33" s="9">
        <v>0.33</v>
      </c>
      <c r="I33" s="9">
        <v>0.32</v>
      </c>
      <c r="J33" s="9">
        <v>0.32</v>
      </c>
      <c r="K33" s="9">
        <v>0.32</v>
      </c>
      <c r="L33" s="9">
        <v>0.32</v>
      </c>
      <c r="M33" s="9">
        <v>0.32</v>
      </c>
      <c r="N33" s="9">
        <v>0.32</v>
      </c>
      <c r="O33" s="11">
        <f>C25</f>
        <v>0.32</v>
      </c>
      <c r="P33" t="s">
        <v>61</v>
      </c>
    </row>
    <row r="34" spans="2:16" x14ac:dyDescent="0.2">
      <c r="B34" t="s">
        <v>62</v>
      </c>
      <c r="E34" s="6">
        <f t="shared" ref="E34:O34" si="1">E32*E33</f>
        <v>161004.04320000001</v>
      </c>
      <c r="F34" s="6">
        <f t="shared" si="1"/>
        <v>178392.47986560003</v>
      </c>
      <c r="G34" s="6">
        <f t="shared" si="1"/>
        <v>190879.95345619204</v>
      </c>
      <c r="H34" s="6">
        <f t="shared" si="1"/>
        <v>202332.75066356358</v>
      </c>
      <c r="I34" s="6">
        <f t="shared" si="1"/>
        <v>206011.52794835568</v>
      </c>
      <c r="J34" s="6">
        <f t="shared" si="1"/>
        <v>216312.10434577346</v>
      </c>
      <c r="K34" s="6">
        <f t="shared" si="1"/>
        <v>224964.58851960441</v>
      </c>
      <c r="L34" s="6">
        <f t="shared" si="1"/>
        <v>233963.17206038861</v>
      </c>
      <c r="M34" s="6">
        <f t="shared" si="1"/>
        <v>240982.06722220028</v>
      </c>
      <c r="N34" s="6">
        <f t="shared" si="1"/>
        <v>248211.52923886626</v>
      </c>
      <c r="O34" s="6">
        <f t="shared" si="1"/>
        <v>254416.8174698379</v>
      </c>
    </row>
    <row r="35" spans="2:16" x14ac:dyDescent="0.2">
      <c r="B35" t="s">
        <v>63</v>
      </c>
      <c r="E35" s="6">
        <f t="shared" ref="E35:N35" si="2">E34*(1-$C$21)</f>
        <v>135243.39628800002</v>
      </c>
      <c r="F35" s="6">
        <f t="shared" si="2"/>
        <v>149849.68308710403</v>
      </c>
      <c r="G35" s="6">
        <f t="shared" si="2"/>
        <v>160339.16090320132</v>
      </c>
      <c r="H35" s="6">
        <f t="shared" si="2"/>
        <v>169959.5105573934</v>
      </c>
      <c r="I35" s="6">
        <f t="shared" si="2"/>
        <v>173049.68347661875</v>
      </c>
      <c r="J35" s="6">
        <f t="shared" si="2"/>
        <v>181702.1676504497</v>
      </c>
      <c r="K35" s="6">
        <f t="shared" si="2"/>
        <v>188970.25435646769</v>
      </c>
      <c r="L35" s="6">
        <f t="shared" si="2"/>
        <v>196529.06453072643</v>
      </c>
      <c r="M35" s="6">
        <f t="shared" si="2"/>
        <v>202424.93646664821</v>
      </c>
      <c r="N35" s="6">
        <f t="shared" si="2"/>
        <v>208497.68456064764</v>
      </c>
      <c r="O35" s="6">
        <f>O34*(1-C26)</f>
        <v>213710.12667466383</v>
      </c>
    </row>
    <row r="36" spans="2:16" x14ac:dyDescent="0.2">
      <c r="B36" t="s">
        <v>64</v>
      </c>
      <c r="E36" s="6">
        <f t="shared" ref="E36:N36" si="3">-E32*$C$22</f>
        <v>-4878.9104000000007</v>
      </c>
      <c r="F36" s="6">
        <f t="shared" si="3"/>
        <v>-5405.8327232000011</v>
      </c>
      <c r="G36" s="6">
        <f t="shared" si="3"/>
        <v>-5784.2410138240011</v>
      </c>
      <c r="H36" s="6">
        <f t="shared" si="3"/>
        <v>-6131.2954746534424</v>
      </c>
      <c r="I36" s="6">
        <f t="shared" si="3"/>
        <v>-6437.860248386115</v>
      </c>
      <c r="J36" s="6">
        <f t="shared" si="3"/>
        <v>-6759.7532608054207</v>
      </c>
      <c r="K36" s="6">
        <f t="shared" si="3"/>
        <v>-7030.1433912376378</v>
      </c>
      <c r="L36" s="6">
        <f t="shared" si="3"/>
        <v>-7311.3491268871439</v>
      </c>
      <c r="M36" s="6">
        <f t="shared" si="3"/>
        <v>-7530.6896006937586</v>
      </c>
      <c r="N36" s="6">
        <f t="shared" si="3"/>
        <v>-7756.6102887145707</v>
      </c>
      <c r="O36" s="6">
        <f>-O35*C23/C24</f>
        <v>-17809.177222888655</v>
      </c>
      <c r="P36" t="s">
        <v>65</v>
      </c>
    </row>
    <row r="37" spans="2:16" x14ac:dyDescent="0.2">
      <c r="B37" s="1" t="s">
        <v>66</v>
      </c>
      <c r="E37" s="14">
        <f t="shared" ref="E37:O37" si="4">E35+E36</f>
        <v>130364.48588800002</v>
      </c>
      <c r="F37" s="14">
        <f t="shared" si="4"/>
        <v>144443.85036390403</v>
      </c>
      <c r="G37" s="14">
        <f t="shared" si="4"/>
        <v>154554.91988937731</v>
      </c>
      <c r="H37" s="14">
        <f t="shared" si="4"/>
        <v>163828.21508273995</v>
      </c>
      <c r="I37" s="14">
        <f t="shared" si="4"/>
        <v>166611.82322823265</v>
      </c>
      <c r="J37" s="14">
        <f t="shared" si="4"/>
        <v>174942.41438964428</v>
      </c>
      <c r="K37" s="14">
        <f t="shared" si="4"/>
        <v>181940.11096523004</v>
      </c>
      <c r="L37" s="14">
        <f t="shared" si="4"/>
        <v>189217.71540383931</v>
      </c>
      <c r="M37" s="14">
        <f t="shared" si="4"/>
        <v>194894.24686595445</v>
      </c>
      <c r="N37" s="14">
        <f t="shared" si="4"/>
        <v>200741.07427193306</v>
      </c>
      <c r="O37" s="14">
        <f t="shared" si="4"/>
        <v>195900.94945177517</v>
      </c>
    </row>
    <row r="38" spans="2:16" x14ac:dyDescent="0.2">
      <c r="B38" t="s">
        <v>67</v>
      </c>
      <c r="E38" s="11">
        <f>(DATE(2026,12,31)-$C$6)/365</f>
        <v>0.21369863013698631</v>
      </c>
      <c r="F38" s="11">
        <v>1</v>
      </c>
      <c r="G38" s="11">
        <v>1</v>
      </c>
      <c r="H38" s="11">
        <v>1</v>
      </c>
      <c r="I38" s="11">
        <v>1</v>
      </c>
      <c r="J38" s="11">
        <v>1</v>
      </c>
      <c r="K38" s="11">
        <v>1</v>
      </c>
      <c r="L38" s="11">
        <v>1</v>
      </c>
      <c r="M38" s="11">
        <v>1</v>
      </c>
      <c r="N38" s="11">
        <v>1</v>
      </c>
    </row>
    <row r="39" spans="2:16" x14ac:dyDescent="0.2">
      <c r="B39" t="s">
        <v>68</v>
      </c>
      <c r="E39" s="15">
        <f>E38/2</f>
        <v>0.10684931506849316</v>
      </c>
      <c r="F39" s="15">
        <f>$E$38+1-0.5</f>
        <v>0.71369863013698631</v>
      </c>
      <c r="G39" s="15">
        <f>$E$38+2-0.5</f>
        <v>1.7136986301369861</v>
      </c>
      <c r="H39" s="15">
        <f>$E$38+3-0.5</f>
        <v>2.7136986301369861</v>
      </c>
      <c r="I39" s="15">
        <f>$E$38+4-0.5</f>
        <v>3.7136986301369861</v>
      </c>
      <c r="J39" s="15">
        <f>$E$38+5-0.5</f>
        <v>4.7136986301369861</v>
      </c>
      <c r="K39" s="15">
        <f>$E$38+6-0.5</f>
        <v>5.7136986301369861</v>
      </c>
      <c r="L39" s="15">
        <f>$E$38+7-0.5</f>
        <v>6.7136986301369861</v>
      </c>
      <c r="M39" s="15">
        <f>$E$38+8-0.5</f>
        <v>7.713698630136987</v>
      </c>
      <c r="N39" s="15">
        <f>$E$38+9-0.5</f>
        <v>8.713698630136987</v>
      </c>
    </row>
    <row r="40" spans="2:16" x14ac:dyDescent="0.2">
      <c r="B40" t="s">
        <v>69</v>
      </c>
      <c r="E40" s="16">
        <f t="shared" ref="E40:N40" si="5">1/(1+$C$20)^E39</f>
        <v>0.98995075030360069</v>
      </c>
      <c r="F40" s="16">
        <f t="shared" si="5"/>
        <v>0.93476194786867206</v>
      </c>
      <c r="G40" s="16">
        <f t="shared" si="5"/>
        <v>0.85044986809405665</v>
      </c>
      <c r="H40" s="16">
        <f t="shared" si="5"/>
        <v>0.77374242692516226</v>
      </c>
      <c r="I40" s="16">
        <f t="shared" si="5"/>
        <v>0.70395371400989926</v>
      </c>
      <c r="J40" s="16">
        <f t="shared" si="5"/>
        <v>0.6404596855799165</v>
      </c>
      <c r="K40" s="16">
        <f t="shared" si="5"/>
        <v>0.58269258431294724</v>
      </c>
      <c r="L40" s="16">
        <f t="shared" si="5"/>
        <v>0.53013586250298728</v>
      </c>
      <c r="M40" s="16">
        <f t="shared" si="5"/>
        <v>0.48231956314179852</v>
      </c>
      <c r="N40" s="16">
        <f t="shared" si="5"/>
        <v>0.43881611760982198</v>
      </c>
    </row>
    <row r="41" spans="2:16" x14ac:dyDescent="0.2">
      <c r="B41" s="1" t="s">
        <v>70</v>
      </c>
      <c r="E41" s="14">
        <f t="shared" ref="E41:N41" si="6">E37*E38*E40</f>
        <v>27578.752899139632</v>
      </c>
      <c r="F41" s="14">
        <f t="shared" si="6"/>
        <v>135020.61492381393</v>
      </c>
      <c r="G41" s="14">
        <f t="shared" si="6"/>
        <v>131441.21123320842</v>
      </c>
      <c r="H41" s="14">
        <f t="shared" si="6"/>
        <v>126760.84073693668</v>
      </c>
      <c r="I41" s="14">
        <f t="shared" si="6"/>
        <v>117287.01175947518</v>
      </c>
      <c r="J41" s="14">
        <f t="shared" si="6"/>
        <v>112043.56371458304</v>
      </c>
      <c r="K41" s="14">
        <f t="shared" si="6"/>
        <v>106015.15344851428</v>
      </c>
      <c r="L41" s="14">
        <f t="shared" si="6"/>
        <v>100311.09675645913</v>
      </c>
      <c r="M41" s="14">
        <f t="shared" si="6"/>
        <v>94001.308007236992</v>
      </c>
      <c r="N41" s="14">
        <f t="shared" si="6"/>
        <v>88088.418856834585</v>
      </c>
    </row>
    <row r="43" spans="2:16" x14ac:dyDescent="0.2">
      <c r="B43" s="1" t="s">
        <v>71</v>
      </c>
    </row>
    <row r="44" spans="2:16" x14ac:dyDescent="0.2">
      <c r="B44" t="s">
        <v>72</v>
      </c>
      <c r="D44" s="6">
        <f>SUM(E41:N41)</f>
        <v>1038547.9723362019</v>
      </c>
    </row>
    <row r="45" spans="2:16" x14ac:dyDescent="0.2">
      <c r="B45" t="s">
        <v>73</v>
      </c>
      <c r="D45" s="6">
        <f>O37/(C20-C23)</f>
        <v>2642374.8664797815</v>
      </c>
    </row>
    <row r="46" spans="2:16" x14ac:dyDescent="0.2">
      <c r="B46" t="s">
        <v>74</v>
      </c>
      <c r="D46" s="6">
        <f>D45/(1+C20)^(E38+9)</f>
        <v>1105989.1008361571</v>
      </c>
    </row>
    <row r="47" spans="2:16" x14ac:dyDescent="0.2">
      <c r="B47" s="1" t="s">
        <v>75</v>
      </c>
      <c r="D47" s="14">
        <f>D44+D46</f>
        <v>2144537.0731723588</v>
      </c>
    </row>
    <row r="48" spans="2:16" x14ac:dyDescent="0.2">
      <c r="B48" t="s">
        <v>76</v>
      </c>
      <c r="D48" s="11">
        <f>D46/D47</f>
        <v>0.51572393626196245</v>
      </c>
    </row>
    <row r="49" spans="2:16" x14ac:dyDescent="0.2">
      <c r="B49" t="s">
        <v>77</v>
      </c>
      <c r="D49" s="6">
        <f>C10</f>
        <v>62173</v>
      </c>
    </row>
    <row r="50" spans="2:16" x14ac:dyDescent="0.2">
      <c r="B50" s="1" t="s">
        <v>78</v>
      </c>
      <c r="D50" s="14">
        <f>D47+D49</f>
        <v>2206710.0731723588</v>
      </c>
    </row>
    <row r="51" spans="2:16" x14ac:dyDescent="0.2">
      <c r="B51" s="1" t="s">
        <v>79</v>
      </c>
      <c r="D51" s="17">
        <f>D50/C8</f>
        <v>151.20459313784644</v>
      </c>
    </row>
    <row r="52" spans="2:16" x14ac:dyDescent="0.2">
      <c r="B52" t="s">
        <v>80</v>
      </c>
      <c r="D52" s="18">
        <f>C7</f>
        <v>342.96</v>
      </c>
    </row>
    <row r="53" spans="2:16" x14ac:dyDescent="0.2">
      <c r="B53" s="1" t="s">
        <v>81</v>
      </c>
      <c r="D53" s="19">
        <f>D51/D52-1</f>
        <v>-0.55911886768764152</v>
      </c>
    </row>
    <row r="54" spans="2:16" x14ac:dyDescent="0.2">
      <c r="B54" t="s">
        <v>82</v>
      </c>
      <c r="D54" s="20">
        <f>C7/8.72</f>
        <v>39.330275229357795</v>
      </c>
      <c r="P54" t="s">
        <v>83</v>
      </c>
    </row>
    <row r="55" spans="2:16" x14ac:dyDescent="0.2">
      <c r="B55" t="s">
        <v>84</v>
      </c>
      <c r="D55" s="20">
        <f>D51/8.72</f>
        <v>17.339976277275966</v>
      </c>
    </row>
    <row r="58" spans="2:16" x14ac:dyDescent="0.2">
      <c r="B58" s="1" t="s">
        <v>85</v>
      </c>
    </row>
    <row r="59" spans="2:16" x14ac:dyDescent="0.2">
      <c r="B59" t="s">
        <v>86</v>
      </c>
      <c r="D59" s="21">
        <v>0.27</v>
      </c>
      <c r="E59" s="21">
        <v>0.29499999999999998</v>
      </c>
      <c r="F59" s="21">
        <v>0.32</v>
      </c>
      <c r="G59" s="21">
        <v>0.34499999999999997</v>
      </c>
      <c r="H59" s="21">
        <v>0.37</v>
      </c>
    </row>
    <row r="60" spans="2:16" x14ac:dyDescent="0.2">
      <c r="C60" s="21">
        <f>$C$20+(-0.03)</f>
        <v>6.9138212536345348E-2</v>
      </c>
      <c r="D60" s="18">
        <f t="shared" ref="D60:H64" si="7">(SUMPRODUCT($E$37:$H$37,$E$38:$H$38,1/(1+$C60)^$E$39:$H$39)+SUMPRODUCT($I$32:$N$32*($I$33:$N$33+D$59-$C$25)*(1-$C$21)+$I$36:$N$36,1/(1+$C60)^$I$39:$N$39)+$O$32*D$59*(1-$C$26)*(1-$C$23/$C$24)/($C60-$C$23)/(1+$C60)^($E$38+9)+$C$10)/$C$8</f>
        <v>214.95759698416325</v>
      </c>
      <c r="E60" s="18">
        <f t="shared" si="7"/>
        <v>231.85525476398874</v>
      </c>
      <c r="F60" s="18">
        <f t="shared" si="7"/>
        <v>248.75291254381438</v>
      </c>
      <c r="G60" s="18">
        <f t="shared" si="7"/>
        <v>265.6505703236399</v>
      </c>
      <c r="H60" s="18">
        <f t="shared" si="7"/>
        <v>282.54822810346542</v>
      </c>
      <c r="P60" t="s">
        <v>87</v>
      </c>
    </row>
    <row r="61" spans="2:16" x14ac:dyDescent="0.2">
      <c r="C61" s="21">
        <f>$C$20+(-0.015)</f>
        <v>8.4138212536345347E-2</v>
      </c>
      <c r="D61" s="18">
        <f t="shared" si="7"/>
        <v>163.25306292321304</v>
      </c>
      <c r="E61" s="18">
        <f t="shared" si="7"/>
        <v>175.4103480939973</v>
      </c>
      <c r="F61" s="18">
        <f t="shared" si="7"/>
        <v>187.56763326478159</v>
      </c>
      <c r="G61" s="18">
        <f t="shared" si="7"/>
        <v>199.72491843556585</v>
      </c>
      <c r="H61" s="18">
        <f t="shared" si="7"/>
        <v>211.88220360635012</v>
      </c>
    </row>
    <row r="62" spans="2:16" x14ac:dyDescent="0.2">
      <c r="C62" s="21">
        <f>$C$20+(0)</f>
        <v>9.9138212536345346E-2</v>
      </c>
      <c r="D62" s="18">
        <f t="shared" si="7"/>
        <v>132.49419251865095</v>
      </c>
      <c r="E62" s="18">
        <f t="shared" si="7"/>
        <v>141.84939282824868</v>
      </c>
      <c r="F62" s="18">
        <f t="shared" si="7"/>
        <v>151.20459313784644</v>
      </c>
      <c r="G62" s="18">
        <f t="shared" si="7"/>
        <v>160.55979344744424</v>
      </c>
      <c r="H62" s="18">
        <f t="shared" si="7"/>
        <v>169.914993757042</v>
      </c>
    </row>
    <row r="63" spans="2:16" x14ac:dyDescent="0.2">
      <c r="C63" s="21">
        <f>$C$20+(0.015)</f>
        <v>0.11413821253634535</v>
      </c>
      <c r="D63" s="18">
        <f t="shared" si="7"/>
        <v>112.09619554901323</v>
      </c>
      <c r="E63" s="18">
        <f t="shared" si="7"/>
        <v>119.60750461015571</v>
      </c>
      <c r="F63" s="18">
        <f t="shared" si="7"/>
        <v>127.11881367129818</v>
      </c>
      <c r="G63" s="18">
        <f t="shared" si="7"/>
        <v>134.63012273244067</v>
      </c>
      <c r="H63" s="18">
        <f t="shared" si="7"/>
        <v>142.14143179358311</v>
      </c>
    </row>
    <row r="64" spans="2:16" x14ac:dyDescent="0.2">
      <c r="C64" s="21">
        <f>$C$20+(0.03)</f>
        <v>0.12913821253634533</v>
      </c>
      <c r="D64" s="18">
        <f t="shared" si="7"/>
        <v>97.574957425658212</v>
      </c>
      <c r="E64" s="18">
        <f t="shared" si="7"/>
        <v>103.78536348265571</v>
      </c>
      <c r="F64" s="18">
        <f t="shared" si="7"/>
        <v>109.99576953965322</v>
      </c>
      <c r="G64" s="18">
        <f t="shared" si="7"/>
        <v>116.20617559665075</v>
      </c>
      <c r="H64" s="18">
        <f t="shared" si="7"/>
        <v>122.41658165364824</v>
      </c>
    </row>
    <row r="66" spans="2:2" x14ac:dyDescent="0.2">
      <c r="B66" s="1" t="s">
        <v>88</v>
      </c>
    </row>
    <row r="67" spans="2:2" x14ac:dyDescent="0.2">
      <c r="B67" t="s">
        <v>89</v>
      </c>
    </row>
    <row r="68" spans="2:2" x14ac:dyDescent="0.2">
      <c r="B68" t="s">
        <v>90</v>
      </c>
    </row>
    <row r="69" spans="2:2" x14ac:dyDescent="0.2">
      <c r="B69" t="s">
        <v>91</v>
      </c>
    </row>
    <row r="70" spans="2:2" x14ac:dyDescent="0.2">
      <c r="B70" t="s">
        <v>92</v>
      </c>
    </row>
    <row r="71" spans="2:2" x14ac:dyDescent="0.2">
      <c r="B7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 Cong Tan</cp:lastModifiedBy>
  <dcterms:created xsi:type="dcterms:W3CDTF">2026-10-06T20:35:55Z</dcterms:created>
  <dcterms:modified xsi:type="dcterms:W3CDTF">2026-10-19T05:59:23Z</dcterms:modified>
</cp:coreProperties>
</file>